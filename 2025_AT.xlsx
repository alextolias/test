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tolias\Documents\Repositories\test\"/>
    </mc:Choice>
  </mc:AlternateContent>
  <xr:revisionPtr revIDLastSave="0" documentId="13_ncr:1_{C5F85B6F-936B-4BBE-A81B-2819CB89D162}" xr6:coauthVersionLast="47" xr6:coauthVersionMax="47" xr10:uidLastSave="{00000000-0000-0000-0000-000000000000}"/>
  <bookViews>
    <workbookView xWindow="-110" yWindow="-110" windowWidth="19420" windowHeight="11500" firstSheet="2" activeTab="3" xr2:uid="{00000000-000D-0000-FFFF-FFFF00000000}"/>
  </bookViews>
  <sheets>
    <sheet name="ΦΥΛΛΟ ΧΡΗΜΑΤΙΚΗΣ ΕΙΣΦΟΡΑΣ" sheetId="1" r:id="rId1"/>
    <sheet name="ΠΛΑΣΤ. ΦΙΑΛΕΣ ΠΟΤΩΝ ΜΙΑΣ ΧΡΗΣΗΣ" sheetId="2" r:id="rId2"/>
    <sheet name="ΚΥΠΕΛ. ΠΕΡΙΕΚΤ. ΤΡΟΦ. ΠΟΤΩΝ ΜΧ" sheetId="3" r:id="rId3"/>
    <sheet name="Sheet1" sheetId="4" r:id="rId4"/>
    <sheet name="ΚΥΠΕΛ. ΠΕΡΙΕΚΤ. ΤΡΟΦ. ΠΟΤΩΝ (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3" i="1" l="1"/>
  <c r="I85" i="1"/>
  <c r="E78" i="1"/>
  <c r="B78" i="1"/>
  <c r="AE76" i="1"/>
  <c r="Y76" i="1"/>
  <c r="AE75" i="1"/>
  <c r="Y75" i="1"/>
  <c r="AE74" i="1"/>
  <c r="Y74" i="1"/>
  <c r="AE73" i="1"/>
  <c r="Y73" i="1"/>
  <c r="AE71" i="1"/>
  <c r="Y71" i="1"/>
  <c r="AE70" i="1"/>
  <c r="Y70" i="1"/>
  <c r="E69" i="1"/>
  <c r="B69" i="1"/>
  <c r="AE67" i="1"/>
  <c r="Y67" i="1"/>
  <c r="AE66" i="1"/>
  <c r="Y66" i="1"/>
  <c r="AE65" i="1"/>
  <c r="Y65" i="1"/>
  <c r="AE64" i="1"/>
  <c r="Y64" i="1"/>
  <c r="E62" i="1"/>
  <c r="B62" i="1"/>
  <c r="AE60" i="1"/>
  <c r="Y60" i="1"/>
  <c r="AE59" i="1"/>
  <c r="Y59" i="1"/>
  <c r="AE58" i="1"/>
  <c r="Y58" i="1"/>
  <c r="AE57" i="1"/>
  <c r="Y57" i="1"/>
  <c r="E55" i="1"/>
  <c r="B55" i="1"/>
  <c r="AE53" i="1"/>
  <c r="Y53" i="1"/>
  <c r="AE52" i="1"/>
  <c r="Y52" i="1"/>
  <c r="AE51" i="1"/>
  <c r="Y51" i="1"/>
  <c r="AE50" i="1"/>
  <c r="Y50" i="1"/>
  <c r="E48" i="1"/>
  <c r="B48" i="1"/>
  <c r="AE46" i="1"/>
  <c r="Y46" i="1"/>
  <c r="AE45" i="1"/>
  <c r="Y45" i="1"/>
  <c r="AE44" i="1"/>
  <c r="Y44" i="1"/>
  <c r="AE43" i="1"/>
  <c r="Y43" i="1"/>
  <c r="E41" i="1"/>
  <c r="B41" i="1"/>
  <c r="AE39" i="1"/>
  <c r="Y39" i="1"/>
  <c r="AE38" i="1"/>
  <c r="Y38" i="1"/>
  <c r="AE37" i="1"/>
  <c r="Y37" i="1"/>
  <c r="AE36" i="1"/>
  <c r="Y36" i="1"/>
  <c r="E34" i="1"/>
  <c r="B34" i="1"/>
  <c r="AE32" i="1"/>
  <c r="Y32" i="1"/>
  <c r="AE31" i="1"/>
  <c r="Y31" i="1"/>
  <c r="AE30" i="1"/>
  <c r="Y30" i="1"/>
  <c r="AE29" i="1"/>
  <c r="Y29" i="1"/>
  <c r="E27" i="1"/>
  <c r="B27" i="1"/>
  <c r="AE25" i="1"/>
  <c r="Y25" i="1"/>
  <c r="AE24" i="1"/>
  <c r="Y24" i="1"/>
  <c r="AE23" i="1"/>
  <c r="Y23" i="1"/>
  <c r="AE22" i="1"/>
  <c r="Y22" i="1"/>
  <c r="AE20" i="1"/>
  <c r="Y20" i="1"/>
  <c r="AE19" i="1"/>
  <c r="Y19" i="1"/>
  <c r="AE18" i="1"/>
  <c r="Y18" i="1"/>
  <c r="AE17" i="1"/>
  <c r="Y17" i="1"/>
  <c r="AE16" i="1"/>
  <c r="Y16" i="1"/>
  <c r="AE15" i="1"/>
  <c r="Y15" i="1"/>
  <c r="AE14" i="1"/>
  <c r="U79" i="1" s="1"/>
  <c r="Y14" i="1"/>
  <c r="J79" i="1" s="1"/>
  <c r="B80" i="1" s="1"/>
  <c r="K94" i="1" s="1"/>
  <c r="A9" i="1"/>
</calcChain>
</file>

<file path=xl/sharedStrings.xml><?xml version="1.0" encoding="utf-8"?>
<sst xmlns="http://schemas.openxmlformats.org/spreadsheetml/2006/main" count="423" uniqueCount="253">
  <si>
    <t>Πίνακας Ετήσιας Δήλωσης Ποσοτήτων Συσκευασιών Κατανάλωσης και Πλαστικών Προϊόντων Μίας Χρήσης</t>
  </si>
  <si>
    <t>Στοιχεία Διαχειριστή</t>
  </si>
  <si>
    <r>
      <t>Επωνυμία</t>
    </r>
    <r>
      <rPr>
        <b/>
        <vertAlign val="superscript"/>
        <sz val="9"/>
        <rFont val="Tahoma"/>
      </rPr>
      <t>(1)</t>
    </r>
  </si>
  <si>
    <r>
      <t>Στοιχεία Εταιρίας</t>
    </r>
    <r>
      <rPr>
        <b/>
        <vertAlign val="superscript"/>
        <sz val="9"/>
        <rFont val="Tahoma"/>
      </rPr>
      <t>(3)</t>
    </r>
  </si>
  <si>
    <r>
      <t>Έτος Αναφοράς</t>
    </r>
    <r>
      <rPr>
        <b/>
        <vertAlign val="superscript"/>
        <sz val="9"/>
        <color theme="1"/>
        <rFont val="Tahoma"/>
      </rPr>
      <t>(4)</t>
    </r>
  </si>
  <si>
    <t>............</t>
  </si>
  <si>
    <t>Διεύθυνση:</t>
  </si>
  <si>
    <t>..........…</t>
  </si>
  <si>
    <t>Τηλέφωνο:</t>
  </si>
  <si>
    <r>
      <t>Ημερομηνία υποβολής</t>
    </r>
    <r>
      <rPr>
        <b/>
        <vertAlign val="superscript"/>
        <sz val="9"/>
        <color theme="1"/>
        <rFont val="Tahoma"/>
      </rPr>
      <t>(5)</t>
    </r>
    <r>
      <rPr>
        <b/>
        <sz val="9"/>
        <color theme="1"/>
        <rFont val="Tahoma"/>
      </rPr>
      <t xml:space="preserve">    ……../….…./ 2026</t>
    </r>
  </si>
  <si>
    <t>Fax:</t>
  </si>
  <si>
    <t>E-mail:</t>
  </si>
  <si>
    <r>
      <t>Κωδικός σύμβασης</t>
    </r>
    <r>
      <rPr>
        <b/>
        <vertAlign val="superscript"/>
        <sz val="9"/>
        <color theme="1"/>
        <rFont val="Tahoma"/>
      </rPr>
      <t>(2*)</t>
    </r>
  </si>
  <si>
    <t>Α.Φ.Μ.:</t>
  </si>
  <si>
    <t>................</t>
  </si>
  <si>
    <r>
      <t>Υπεύθυνος Επικοινωνίας</t>
    </r>
    <r>
      <rPr>
        <b/>
        <vertAlign val="superscript"/>
        <sz val="9"/>
        <color theme="1"/>
        <rFont val="Tahoma"/>
      </rPr>
      <t>(6)</t>
    </r>
  </si>
  <si>
    <t>ΔΟΥ:</t>
  </si>
  <si>
    <t>…………………</t>
  </si>
  <si>
    <t>Είδος Συσκευασιών που διατέθηκαν στην Αγορά</t>
  </si>
  <si>
    <r>
      <rPr>
        <b/>
        <sz val="11"/>
        <color theme="1"/>
        <rFont val="Calibri"/>
        <scheme val="minor"/>
      </rPr>
      <t>Συσκευασίες Μίας Χρήσης</t>
    </r>
    <r>
      <rPr>
        <b/>
        <vertAlign val="superscript"/>
        <sz val="11"/>
        <color theme="1"/>
        <rFont val="Calibri"/>
        <scheme val="minor"/>
      </rPr>
      <t>(7)</t>
    </r>
  </si>
  <si>
    <r>
      <rPr>
        <b/>
        <sz val="11"/>
        <color theme="1"/>
        <rFont val="Calibri"/>
        <scheme val="minor"/>
      </rPr>
      <t>Επαναχρησιμοποιήσιμες Συσκευασίες</t>
    </r>
    <r>
      <rPr>
        <b/>
        <vertAlign val="superscript"/>
        <sz val="11"/>
        <color theme="1"/>
        <rFont val="Calibri"/>
        <scheme val="minor"/>
      </rPr>
      <t>(8)</t>
    </r>
  </si>
  <si>
    <r>
      <rPr>
        <b/>
        <sz val="11"/>
        <color theme="1"/>
        <rFont val="Calibri"/>
        <scheme val="minor"/>
      </rPr>
      <t>ΧΡΗΜΑΤΙΚΗ ΕΙΣΦΟΡΑ</t>
    </r>
    <r>
      <rPr>
        <b/>
        <vertAlign val="superscript"/>
        <sz val="11"/>
        <color theme="1"/>
        <rFont val="Calibri"/>
        <scheme val="minor"/>
      </rPr>
      <t>(13)</t>
    </r>
  </si>
  <si>
    <r>
      <rPr>
        <b/>
        <sz val="11"/>
        <color theme="1"/>
        <rFont val="Calibri"/>
        <scheme val="minor"/>
      </rPr>
      <t>Πρωτογενείς Συσκευασίες (Συσκευασίες προς Πώληση)</t>
    </r>
    <r>
      <rPr>
        <b/>
        <vertAlign val="superscript"/>
        <sz val="11"/>
        <color theme="1"/>
        <rFont val="Calibri"/>
        <scheme val="minor"/>
      </rPr>
      <t>(9)</t>
    </r>
  </si>
  <si>
    <r>
      <t>Δευτερογενείς Συσκευασίες (Ομαδοποιημένες Συσκευασίες)</t>
    </r>
    <r>
      <rPr>
        <b/>
        <vertAlign val="superscript"/>
        <sz val="11"/>
        <color theme="1"/>
        <rFont val="Calibri"/>
        <scheme val="minor"/>
      </rPr>
      <t>(10)</t>
    </r>
    <r>
      <rPr>
        <b/>
        <sz val="11"/>
        <color theme="1"/>
        <rFont val="Calibri"/>
        <scheme val="minor"/>
      </rPr>
      <t xml:space="preserve"> /Τριτογενείς Συσκευασίες (Συσκευασίες Μεταφοράς)</t>
    </r>
    <r>
      <rPr>
        <b/>
        <vertAlign val="superscript"/>
        <sz val="11"/>
        <color theme="1"/>
        <rFont val="Calibri"/>
        <scheme val="minor"/>
      </rPr>
      <t>(11)</t>
    </r>
  </si>
  <si>
    <r>
      <rPr>
        <b/>
        <sz val="11"/>
        <color theme="1"/>
        <rFont val="Calibri"/>
        <scheme val="minor"/>
      </rPr>
      <t>Δευτερογενείς Συσκευασίες (Ομαδοποιημένες Συσκευασίες)</t>
    </r>
    <r>
      <rPr>
        <b/>
        <vertAlign val="superscript"/>
        <sz val="11"/>
        <color theme="1"/>
        <rFont val="Calibri"/>
        <scheme val="minor"/>
      </rPr>
      <t>(10)</t>
    </r>
    <r>
      <rPr>
        <b/>
        <sz val="11"/>
        <color theme="1"/>
        <rFont val="Calibri"/>
        <scheme val="minor"/>
      </rPr>
      <t xml:space="preserve"> / Τριτογενείς Συσκευασίες (Συσκευασίες Μεταφοράς)</t>
    </r>
    <r>
      <rPr>
        <b/>
        <vertAlign val="superscript"/>
        <sz val="11"/>
        <color theme="1"/>
        <rFont val="Calibri"/>
        <scheme val="minor"/>
      </rPr>
      <t>(11)</t>
    </r>
  </si>
  <si>
    <t>Διατέθηκαν Πρώτη φορά στην Αγορά</t>
  </si>
  <si>
    <t>Σύνολο που διατέθηκε στην Αγορά</t>
  </si>
  <si>
    <t>ΟΡΙΣΜΕΝΗ ΕΙΣΦΟΡΑ ΒΑΡΟΥΣ ΑΝΑ ΥΛΙΚΟ ΣΥΣΚΕΥΑΣΙΑΣ</t>
  </si>
  <si>
    <t>ΣΥΝΟΛΙΚΗ ΕΙΣΦΟΡΑ ΒΑΡΟΥΣ ΑΝΑ ΥΛΙΚΟ ΣΥΣΚΕΥΑΣΙΑΣ</t>
  </si>
  <si>
    <t>ΟΡΙΣΜΕΝΗ (ΣΤΑΘΕΡΗ) ΕΙΣΦΟΡΑ ΑΝΑ ΤΕΜΑΧΙΟ</t>
  </si>
  <si>
    <t>ΣΥΝΟΛΙΚΗ ΕΙΦΟΡΑ ΤΕΜΑΧΙΩΝ ΑΝΑ ΥΛΙΚΟ ΣΥΣΚΕΥΑΣΙΑΣ</t>
  </si>
  <si>
    <t>Υλικό Συσκευασίας</t>
  </si>
  <si>
    <r>
      <rPr>
        <b/>
        <i/>
        <sz val="9"/>
        <rFont val="Tahoma"/>
      </rPr>
      <t>Βάρος συσκευασιών</t>
    </r>
    <r>
      <rPr>
        <b/>
        <vertAlign val="superscript"/>
        <sz val="9"/>
        <rFont val="Tahoma"/>
      </rPr>
      <t>(12)</t>
    </r>
  </si>
  <si>
    <r>
      <t>Τεμάχια συσκευασιών</t>
    </r>
    <r>
      <rPr>
        <b/>
        <i/>
        <vertAlign val="superscript"/>
        <sz val="9"/>
        <rFont val="Tahoma"/>
      </rPr>
      <t>(15)</t>
    </r>
  </si>
  <si>
    <r>
      <t>Βάρος συσκευασιών</t>
    </r>
    <r>
      <rPr>
        <b/>
        <i/>
        <vertAlign val="superscript"/>
        <sz val="9"/>
        <rFont val="Tahoma"/>
      </rPr>
      <t>(12)</t>
    </r>
  </si>
  <si>
    <r>
      <rPr>
        <b/>
        <i/>
        <sz val="9"/>
        <rFont val="Tahoma"/>
      </rPr>
      <t>Τεμάχια συσκευασιών</t>
    </r>
    <r>
      <rPr>
        <b/>
        <i/>
        <vertAlign val="superscript"/>
        <sz val="9"/>
        <rFont val="Tahoma"/>
      </rPr>
      <t>(15)</t>
    </r>
  </si>
  <si>
    <r>
      <rPr>
        <b/>
        <i/>
        <sz val="9"/>
        <rFont val="Tahoma"/>
      </rPr>
      <t>Εισφορά</t>
    </r>
    <r>
      <rPr>
        <b/>
        <vertAlign val="superscript"/>
        <sz val="9"/>
        <rFont val="Tahoma"/>
      </rPr>
      <t>(13)</t>
    </r>
  </si>
  <si>
    <r>
      <rPr>
        <b/>
        <i/>
        <sz val="9"/>
        <rFont val="Tahoma"/>
      </rPr>
      <t>Επιμέρους Εισφορά</t>
    </r>
    <r>
      <rPr>
        <b/>
        <vertAlign val="superscript"/>
        <sz val="9"/>
        <rFont val="Tahoma"/>
      </rPr>
      <t>(14)</t>
    </r>
  </si>
  <si>
    <r>
      <rPr>
        <b/>
        <i/>
        <sz val="9"/>
        <rFont val="Tahoma"/>
      </rPr>
      <t>Σταθερή Εισφορά</t>
    </r>
    <r>
      <rPr>
        <b/>
        <i/>
        <vertAlign val="superscript"/>
        <sz val="9"/>
        <rFont val="Tahoma"/>
      </rPr>
      <t xml:space="preserve">(16) </t>
    </r>
    <r>
      <rPr>
        <b/>
        <i/>
        <sz val="9"/>
        <rFont val="Tahoma"/>
      </rPr>
      <t>(€/τμχ.)</t>
    </r>
  </si>
  <si>
    <r>
      <t>Επιμέρους Εισφορά</t>
    </r>
    <r>
      <rPr>
        <b/>
        <vertAlign val="superscript"/>
        <sz val="9"/>
        <rFont val="Tahoma"/>
      </rPr>
      <t>(14)</t>
    </r>
  </si>
  <si>
    <t>ΓΥΑΛΙ</t>
  </si>
  <si>
    <t>ΑΛΟΥΜΙΝΙΟ</t>
  </si>
  <si>
    <t>ΞΥΛΟ</t>
  </si>
  <si>
    <t>ΧΑΡΤΙ/ΧΑΡΤΟΝΙ ΜΕΤΑΦΟΡΑΣ</t>
  </si>
  <si>
    <t>ΛΟΙΠΟ ΧΑΡΤΙ/ΧΑΡΤΟΝΙ</t>
  </si>
  <si>
    <t>ΣΙΔΗΡΟΥΧΑ ΜΕΤΑΛΛΑ</t>
  </si>
  <si>
    <r>
      <t>ΑΛΛΕΣ ΣΥΣΚΕΥΑΣΙΕΣ</t>
    </r>
    <r>
      <rPr>
        <b/>
        <vertAlign val="superscript"/>
        <sz val="9"/>
        <color theme="1"/>
        <rFont val="Tahoma"/>
      </rPr>
      <t>(18)</t>
    </r>
  </si>
  <si>
    <t>ΠΛΑΣΤΙΚΟ ΑΠΟ ΠΟΛΥΤΕΡΕΦΘΑΛΙΚΟ ΑΙΘΥΛΕΝΙΟ (PET)</t>
  </si>
  <si>
    <r>
      <t xml:space="preserve">ΠΕΡΙΕΧΟΝΤΑΙ ΦΙΑΛΕΣ ΠΟΤΩΝ ΜΙΑΣ ΧΡΗΣΗΣ ? (ΠΑΡΑΚΑΛΩ ΕΠΙΛΕΞΤΕ ΤΟ ΚΑΤΑΛΛΗΛΟ ΠΕΔΙΟ ΣΤΗΝ ΙΔΙΑ ΣΕΙΡΑ, ΑΜΕΣΩΣ ΔΕΞΙΑ ΝΑΙ/ΟΧΙ) - </t>
    </r>
    <r>
      <rPr>
        <b/>
        <u/>
        <sz val="9"/>
        <rFont val="Tahoma"/>
      </rPr>
      <t>ΥΠΟΧΡΕΩΤΙΚΗ ΕΠΙΛΟΓΗ</t>
    </r>
  </si>
  <si>
    <t>ΝΑΙ</t>
  </si>
  <si>
    <t>ΟΧΙ</t>
  </si>
  <si>
    <r>
      <t xml:space="preserve">ΠΕΡΙΕΧΟΝΤΑΙ ΚΥΠΕΛΑΚΙΑ &amp; ΠΕΡΙΕΚΤΕΣ ΤΡΟΦΙΜΩΝ ΠΟΤΩΝ ΜΙΑΣ ΧΡΗΣΗΣ ? (ΠΑΡΑΚΑΛΩ ΕΠΙΛΕΞΤΕ ΤΟ ΚΑΤΑΛΛΗΛΟ ΠΕΔΙΟ ΣΤΗΝ ΙΔΙΑ ΣΕΙΡΑ, ΑΜΕΣΩΣ ΔΕΞΙΑ ΝΑΙ/ΟΧΙ) - </t>
    </r>
    <r>
      <rPr>
        <b/>
        <u/>
        <sz val="9"/>
        <rFont val="Tahoma"/>
      </rPr>
      <t>ΥΠΟΧΡΕΩΤΙΚΗ ΕΠΙΛΟΓΗ</t>
    </r>
  </si>
  <si>
    <t>Συσκευασίες από PET &gt; 100μm</t>
  </si>
  <si>
    <t>Συσκευασίες από PET - πολύ λεπτές &lt;100μm</t>
  </si>
  <si>
    <r>
      <t>Συσκευασίες από PET &gt; 100μm, που περιέχουν &gt; 25% ανακυκλωμένο υλικό</t>
    </r>
    <r>
      <rPr>
        <b/>
        <vertAlign val="superscript"/>
        <sz val="9"/>
        <rFont val="Tahoma"/>
      </rPr>
      <t>(21)</t>
    </r>
  </si>
  <si>
    <r>
      <rPr>
        <b/>
        <sz val="9"/>
        <rFont val="Tahoma"/>
      </rPr>
      <t>Συσκευασίες από PET - πολύ λεπτές &lt;100μm, που περιέχουν &gt; 25% ανακυκλωμένο υλικό</t>
    </r>
    <r>
      <rPr>
        <b/>
        <vertAlign val="superscript"/>
        <sz val="9"/>
        <rFont val="Tahoma"/>
      </rPr>
      <t>(21)</t>
    </r>
  </si>
  <si>
    <t>ΣΥΝΟΛΟ PET</t>
  </si>
  <si>
    <t>ΒΑΡΟΣ</t>
  </si>
  <si>
    <t>ΤΕΜΑΧΙΑ</t>
  </si>
  <si>
    <t>ΠΛΑΣΤΙΚΟ ΑΠΟ ΠΟΛΥΠΡΟΠΥΛΕΝΙΟ (PP)</t>
  </si>
  <si>
    <t>Συσκευασίες από PP &gt; 100μm</t>
  </si>
  <si>
    <t>Συσκευασίες από PP - πολύ λεπτές &lt;100μm</t>
  </si>
  <si>
    <r>
      <t>Συσκευασίες από PP&gt; 100μm, που περιέχουν &gt; 25% ανακυκλωμένο υλικό</t>
    </r>
    <r>
      <rPr>
        <b/>
        <vertAlign val="superscript"/>
        <sz val="9"/>
        <rFont val="Tahoma"/>
      </rPr>
      <t>(21)</t>
    </r>
  </si>
  <si>
    <r>
      <t>Συσκευασίες από PP- πολύ λεπτές &lt;100μm, που περιέχουν &gt; 25% ανακυκλωμένο υλικό</t>
    </r>
    <r>
      <rPr>
        <b/>
        <vertAlign val="superscript"/>
        <sz val="9"/>
        <rFont val="Tahoma"/>
      </rPr>
      <t>(21)</t>
    </r>
  </si>
  <si>
    <t>ΣΥΝΟΛΟ PP</t>
  </si>
  <si>
    <t>ΠΛΑΣΤΙΚΟ ΑΠΟ ΠΟΛΥΑΙΘΥΛΕΝΙΟ (PE)</t>
  </si>
  <si>
    <t>Συσκευασίες από PΕ &gt; 100μm</t>
  </si>
  <si>
    <t>Συσκευασίες από PΕ - πολύ λεπτές &lt;100μm</t>
  </si>
  <si>
    <r>
      <t>Συσκευασίες από PΕ&gt; 100μm, που περιέχουν &gt; 25% ανακυκλωμένο υλικό</t>
    </r>
    <r>
      <rPr>
        <b/>
        <vertAlign val="superscript"/>
        <sz val="9"/>
        <rFont val="Tahoma"/>
      </rPr>
      <t>(21)</t>
    </r>
  </si>
  <si>
    <r>
      <t>Συσκευασίες από PΕ- πολύ λεπτές &lt;100μm, που περιέχουν &gt; 25% ανακυκλωμένο υλικό</t>
    </r>
    <r>
      <rPr>
        <b/>
        <vertAlign val="superscript"/>
        <sz val="9"/>
        <rFont val="Tahoma"/>
      </rPr>
      <t>(21)</t>
    </r>
  </si>
  <si>
    <t>ΣΥΝΟΛΟ PE</t>
  </si>
  <si>
    <t>ΠΛΑΣΤΙΚΟ ΑΠΟ ΠΟΛΥΣΤΥΡΕΝΙΟ (PS)</t>
  </si>
  <si>
    <t>Συσκευασίες από PS &gt; 100μm</t>
  </si>
  <si>
    <t>Συσκευασίες από PS - πολύ λεπτές &lt;100μm</t>
  </si>
  <si>
    <r>
      <t>Συσκευασίες από PS&gt; 100μm, που περιέχουν &gt; 25% ανακυκλωμένο υλικό</t>
    </r>
    <r>
      <rPr>
        <b/>
        <vertAlign val="superscript"/>
        <sz val="9"/>
        <rFont val="Tahoma"/>
      </rPr>
      <t>(21)</t>
    </r>
  </si>
  <si>
    <r>
      <t>Συσκευασίες από PS- πολύ λεπτές &lt;100μm, που περιέχουν &gt; 25% ανακυκλωμένο υλικό</t>
    </r>
    <r>
      <rPr>
        <b/>
        <vertAlign val="superscript"/>
        <sz val="9"/>
        <rFont val="Tahoma"/>
      </rPr>
      <t>(21)</t>
    </r>
  </si>
  <si>
    <t>ΣΥΝΟΛΟ PS</t>
  </si>
  <si>
    <t>ΠΛΑΣΤΙΚΟ ΑΠΟ ΔΙΟΓΚΩΜΕΝΟ ΠΟΛΥΣΤΥΡΕΝΙΟ</t>
  </si>
  <si>
    <t>Συσκευασίες από διογκωμένο πολυστυρένιο &gt; 100μm</t>
  </si>
  <si>
    <t>Συσκευασίες από διογκωμένο πολυστυρένιο - πολύ λεπτές &lt;100μm</t>
  </si>
  <si>
    <r>
      <t>Συσκευασίες από διογκωμένο πολυστυρένιο &gt; 100μm, που περιέχουν &gt; 25% ανακυκλωμένο υλικό</t>
    </r>
    <r>
      <rPr>
        <b/>
        <vertAlign val="superscript"/>
        <sz val="9"/>
        <rFont val="Tahoma"/>
      </rPr>
      <t>(21)</t>
    </r>
  </si>
  <si>
    <r>
      <t>Συσκευασίες από διογκωμένο πολυστυρένιο - πολύ λεπτές &lt;100μm, που περιέχουν &gt; 25% ανακυκλωμένο υλικό</t>
    </r>
    <r>
      <rPr>
        <b/>
        <vertAlign val="superscript"/>
        <sz val="9"/>
        <rFont val="Tahoma"/>
      </rPr>
      <t>(21)</t>
    </r>
  </si>
  <si>
    <t>ΣΥΝΟΛΟ ΔΙΟΓΚΩΜΕΝΟ ΠΟΛΥΣΤΥΡΕΝΙΟ</t>
  </si>
  <si>
    <t>ΠΛΑΣΤΙΚΟ ΑΠΟ ΑΛΛΟ ΠΟΛΥΜΕΡΕΣ (PΟ)</t>
  </si>
  <si>
    <t>Συσκευασίες από PO &gt; 100μm</t>
  </si>
  <si>
    <t>Συσκευασίες από PO - πολύ λεπτές &lt;100μm</t>
  </si>
  <si>
    <r>
      <t>Συσκευασίες από PO &gt; 100μm, που περιέχουν &gt; 25% ανακυκλωμένο υλικό</t>
    </r>
    <r>
      <rPr>
        <b/>
        <vertAlign val="superscript"/>
        <sz val="9"/>
        <rFont val="Tahoma"/>
      </rPr>
      <t>(21)</t>
    </r>
  </si>
  <si>
    <r>
      <t>Συσκευασίες από PO - πολύ λεπτές &lt;100μm, που περιέχουν &gt; 25% ανακυκλωμένο υλικό</t>
    </r>
    <r>
      <rPr>
        <b/>
        <vertAlign val="superscript"/>
        <sz val="9"/>
        <rFont val="Tahoma"/>
      </rPr>
      <t>(21)</t>
    </r>
  </si>
  <si>
    <t>ΣΥΝΟΛΟ PO</t>
  </si>
  <si>
    <t>ΠΟΛΥΣΤΡΩΜΑΤΙΚΑ ΠΛΑΣΤΙΚΑ ΜΕ ΠΕΡΙΣΣΟΤΕΡΑ ΤΟΥ ΕΝΟΣ ΠΟΛΥΜΕΡΗ Ή ΠΛΑΣΤΙΚΑ ΑΠΟ ΕΤΙΚΕΤΕΣ ΑΠΟ PVC</t>
  </si>
  <si>
    <t>Συσκευασίες από πολυστρωματικά πλαστικά με περισσότερα του ενός πολυμερή ή πλαστικά από ετικέτες από PVC &gt; 100μm</t>
  </si>
  <si>
    <t>Συσκευασίες από πολυστρωματικά πλαστικά με περισσότερα του ενός πολυμερή ή πλαστικά από ετικέτες από PVC - πολύ λεπτές &lt;100μm</t>
  </si>
  <si>
    <r>
      <t>Συσκευασίες από πολυστρωματικά πλαστικά με περισσότερα του ενός πολυμερή ή πλαστικά από ετικέτες από PVC &gt; 100μm, που περιέχουν &gt; 25% ανακυκλωμένο υλικό</t>
    </r>
    <r>
      <rPr>
        <b/>
        <vertAlign val="superscript"/>
        <sz val="9"/>
        <rFont val="Tahoma"/>
      </rPr>
      <t>(21)</t>
    </r>
  </si>
  <si>
    <r>
      <t>Συσκευασίες από πολυστρωματικά πλαστικά με περισσότερα του ενός πολυμερή ή πλαστικά από ετικέτες από PVC - πολύ λεπτές &lt;100μm, που περιέχουν &gt; 25% ανακυκλωμένο υλικό</t>
    </r>
    <r>
      <rPr>
        <b/>
        <vertAlign val="superscript"/>
        <sz val="9"/>
        <rFont val="Tahoma"/>
      </rPr>
      <t>(21)</t>
    </r>
  </si>
  <si>
    <t>ΣΥΝΟΛΟ ΠΟΛΥΣΤΡΩΜΑΤΙΚΑ ΠΛΑΣΤΙΚΑ ΜΕ ΠΕΡΙΣΣΟΤΕΡΑ ΤΟΥ ΕΝΟΣ ΠΟΛΥΜΕΡΗ Ή ΠΛΑΣΤΙΚΑ ΑΠΟ ΕΤΙΚΕΤΕΣ ΑΠΟ PVC</t>
  </si>
  <si>
    <t>ΣΥΝΘΕΤΕΣ ΣΥΣΚΕΥΑΣΙΕΣ ΜΕ ΒΑΣΗ ΤΟ ΧΑΡΤΙ</t>
  </si>
  <si>
    <t>ΣΥΝΘΕΤΕΣ ΣΥΣΚΕΥΑΣΙΕΣ ΜΕ ΒΑΣΗ ΤΟ ΓΥΑΛΙ</t>
  </si>
  <si>
    <t>ΣΥΝΘΕΤΕΣ ΣΥΣΚΕΥΑΣΙΕΣ ΜΕ ΒΑΣΗ ΤΟ ΠΛΑΣΤΙΚΟ</t>
  </si>
  <si>
    <t>Σύνθετες συσκευασίες με βάση το πλαστικό &gt; 100μm</t>
  </si>
  <si>
    <t>Σύνθετες συσκευασίες με βάση το πλαστικό - πολύ λεπτές &lt;100μm</t>
  </si>
  <si>
    <r>
      <t>Σύνθετες συσκευασίες με βάση το πλαστικό &gt; 100μm, που περιέχουν &gt; 25% ανακυκλωμένο υλικό</t>
    </r>
    <r>
      <rPr>
        <b/>
        <vertAlign val="superscript"/>
        <sz val="9"/>
        <rFont val="Tahoma"/>
      </rPr>
      <t>(21)</t>
    </r>
  </si>
  <si>
    <r>
      <t>Σύνθετες συσκευασίες με βάση το πλαστικό - πολύ λεπτές &lt;100μm, που περιέχουν &gt; 25% ανακυκλωμένο υλικό</t>
    </r>
    <r>
      <rPr>
        <b/>
        <vertAlign val="superscript"/>
        <sz val="9"/>
        <rFont val="Tahoma"/>
      </rPr>
      <t>(21)</t>
    </r>
  </si>
  <si>
    <t>ΣΥΝΟΛΟ ΣΥΝΘΕΤΕΣ ΣΥΣΚΕΥΑΣΙΕΣ ΜΕ ΒΑΣΗ ΤΟ ΠΛΑΣΤΙΚΟ</t>
  </si>
  <si>
    <t>Συνολική Εισφορά Α (Βάρος Συσκευασιών)</t>
  </si>
  <si>
    <t>Συνολική Εισφορά Β (Τεμάχια Συσκευασιών)</t>
  </si>
  <si>
    <t>ΣΥΝΟΛΙΚΗ ΕΙΣΦΟΡΑ Α+Β</t>
  </si>
  <si>
    <r>
      <t>Γ. Εισφορά Βάσει Τέλους Συμμετοχής</t>
    </r>
    <r>
      <rPr>
        <b/>
        <vertAlign val="superscript"/>
        <sz val="10"/>
        <rFont val="Tahoma"/>
      </rPr>
      <t>(26)</t>
    </r>
  </si>
  <si>
    <r>
      <rPr>
        <b/>
        <vertAlign val="superscript"/>
        <sz val="12"/>
        <color theme="1"/>
        <rFont val="Calibri"/>
        <scheme val="minor"/>
      </rPr>
      <t xml:space="preserve">(26) </t>
    </r>
    <r>
      <rPr>
        <b/>
        <sz val="12"/>
        <color theme="1"/>
        <rFont val="Calibri"/>
        <scheme val="minor"/>
      </rPr>
      <t>Η ΕΙΣΦΟΡΑ ΒΑΣΕΙ ΤΕΛΟΥΣ ΣΥΜΜΕΤΟΧΗΣ ΣΥΜΠΛΗΡΩΝΕΤΑΙ ΜΟΝΟ ΑΠΌ ΤΟΥΣ ΥΠΟΧΡΕΟΥΣ ΔΙΑΧΕΙΡΙΣΤΕΣ ΣΥΣΚΕΥΑΣΙΑΣ ΠΟΥ ΕΓΓΡΑΦΟΝΤΑΙ ΓΙΑ ΠΡΩΤΗ ΦΟΡΑ ΣΤΟ ΕΘΝΙΚΟ ΜΗΤΡΩΟ ΠΑΡΑΓΩΓΩΝ ΜΕ ΕΞΑΙΡΕΣΗ ΕΚΕΙΝΟΥΣ ΠΟΥ ΤΟ ΕΤΟΣ ΙΔΡΥΣΕΩΣ ΤΟΥΣ ΕΊΝΑΙ ΤΟ 2024 Ή ΤΟ 2025 (ΟΙ ΟΠΟΙΟΙ ΔΕΝ ΈΧΟΥΝ ΥΠΟΧΡΕΩΣΗ ΝΑ ΤΟ ΣΥΜΠΛΗΡΩΣΟΥΝ ΠΑΡΑ ΤΟ ΓΕΓΟΝΟΣ ΟΤΙ ΕΓΓΡΑΦΟΝΤΑΙ ΓΙΑ ΠΡΩΤΗ ΦΟΡΑ ΣΤΟ ΕΘΝΙΚΟ ΜΗΤΡΩΟ ΠΑΡΑΓΩΓΩΝ)</t>
    </r>
  </si>
  <si>
    <t>Συνολική εισφορά Α (€)</t>
  </si>
  <si>
    <t>Πολλαπλασιαστής</t>
  </si>
  <si>
    <r>
      <t>ΕΠΙΜΕΡΟΥΣ ΕΙΣΦΟΡΑ</t>
    </r>
    <r>
      <rPr>
        <b/>
        <i/>
        <vertAlign val="superscript"/>
        <sz val="9"/>
        <rFont val="Tahoma"/>
      </rPr>
      <t>(19)</t>
    </r>
    <r>
      <rPr>
        <b/>
        <i/>
        <sz val="9"/>
        <rFont val="Tahoma"/>
      </rPr>
      <t xml:space="preserve"> (€)</t>
    </r>
  </si>
  <si>
    <t>Συνολική Εισφορά Γ</t>
  </si>
  <si>
    <t>ΣΥΝΟΛΙΚΗ ΕΙΣΦΟΡΑ (Α+Β+Γ)</t>
  </si>
  <si>
    <t>Σχετικά με την Δήλωση</t>
  </si>
  <si>
    <t>Αυτή η δήλωση είναι (ΠΑΡΑΚΑΛΩ ΚΙΤΡΙΝΙΣΤΕ ΤΟ ΚΑΤΑΛΛΗΛΟ ΠΕΔΙΟ) :</t>
  </si>
  <si>
    <r>
      <rPr>
        <b/>
        <sz val="9"/>
        <color rgb="FFC00000"/>
        <rFont val="Tahoma"/>
      </rPr>
      <t>1</t>
    </r>
    <r>
      <rPr>
        <b/>
        <sz val="9"/>
        <rFont val="Tahoma"/>
      </rPr>
      <t xml:space="preserve">. Καινούρια δήλωση     </t>
    </r>
    <r>
      <rPr>
        <b/>
        <sz val="9"/>
        <rFont val="Times New Roman"/>
      </rPr>
      <t>⁭</t>
    </r>
  </si>
  <si>
    <r>
      <rPr>
        <b/>
        <sz val="9"/>
        <color rgb="FFC00000"/>
        <rFont val="Tahoma"/>
      </rPr>
      <t>2</t>
    </r>
    <r>
      <rPr>
        <b/>
        <sz val="9"/>
        <rFont val="Tahoma"/>
      </rPr>
      <t xml:space="preserve">. Τροποποίηση δήλωσης   </t>
    </r>
    <r>
      <rPr>
        <b/>
        <sz val="9"/>
        <rFont val="Times New Roman"/>
      </rPr>
      <t>⁭</t>
    </r>
  </si>
  <si>
    <r>
      <t>Στην περίπτωση (2) αναφέρετε την ημερομηνία της προηγούμενης δήλωσης</t>
    </r>
    <r>
      <rPr>
        <b/>
        <sz val="9"/>
        <color rgb="FFC00000"/>
        <rFont val="Tahoma"/>
      </rPr>
      <t xml:space="preserve"> …./…./……</t>
    </r>
  </si>
  <si>
    <t>Πρόσθετες παρατηρήσεις:</t>
  </si>
  <si>
    <t>Συμμετοχή σε εγκεκριμένο Σύστημα Εναλλακτικής Διαχείρισης Συσκευασιών</t>
  </si>
  <si>
    <t>Η εταιρία δηλώνει υπεύθυνα ότι (ΠΑΡΑΚΑΛΩ ΚΙΤΡΙΝΙΣΤΕ ΤΑ ΚΑΤΑΛΛΗΛΑ ΠΕΔΙΑ) :</t>
  </si>
  <si>
    <r>
      <rPr>
        <b/>
        <sz val="9"/>
        <color rgb="FFC00000"/>
        <rFont val="Tahoma"/>
      </rPr>
      <t>1</t>
    </r>
    <r>
      <rPr>
        <b/>
        <sz val="9"/>
        <rFont val="Tahoma"/>
      </rPr>
      <t>. Έχει υπογράψει σύμβαση συνεργασίας με εγκεκριμένο Σύστημα Εναλλακτικής Διαχείρισης Συσκευασιών</t>
    </r>
    <r>
      <rPr>
        <b/>
        <sz val="9"/>
        <rFont val="Times New Roman"/>
      </rPr>
      <t xml:space="preserve"> ⁭</t>
    </r>
  </si>
  <si>
    <r>
      <rPr>
        <b/>
        <sz val="9"/>
        <color rgb="FFC00000"/>
        <rFont val="Tahoma"/>
      </rPr>
      <t>2</t>
    </r>
    <r>
      <rPr>
        <b/>
        <sz val="9"/>
        <rFont val="Tahoma"/>
      </rPr>
      <t xml:space="preserve">. Είναι η πρώτη φορά που υπογράφει σύμβαση συνεργασίας με εγκεκριμένο Σύστημα Εναλλακτικής Διαχείρισης Συσκευασιών </t>
    </r>
    <r>
      <rPr>
        <b/>
        <sz val="9"/>
        <rFont val="Times New Roman"/>
      </rPr>
      <t>⁭</t>
    </r>
  </si>
  <si>
    <r>
      <rPr>
        <b/>
        <sz val="9"/>
        <color rgb="FFC00000"/>
        <rFont val="Tahoma"/>
      </rPr>
      <t>3</t>
    </r>
    <r>
      <rPr>
        <b/>
        <sz val="9"/>
        <rFont val="Tahoma"/>
      </rPr>
      <t xml:space="preserve">. Είναι το πρώτο έτος που η εταιρία έχει υποχρέωση να συμβληθεί με εγκεκριμένο Σύστημα Εναλλακτικής Διαχείρισης Συσκευασιών </t>
    </r>
    <r>
      <rPr>
        <b/>
        <sz val="9"/>
        <rFont val="Times New Roman"/>
      </rPr>
      <t>⁭</t>
    </r>
  </si>
  <si>
    <t>Ονοματεπώνυμο Εκπρόσωπου εταιρίας</t>
  </si>
  <si>
    <t>Σφραγίδα – Υπογραφή</t>
  </si>
  <si>
    <t>Οδηγίες συμπλήρωσης του Πίνακα Ετήσιας Δήλωσης</t>
  </si>
  <si>
    <r>
      <rPr>
        <b/>
        <vertAlign val="superscript"/>
        <sz val="9"/>
        <color theme="1"/>
        <rFont val="Tahoma"/>
      </rPr>
      <t xml:space="preserve">(1) </t>
    </r>
    <r>
      <rPr>
        <b/>
        <sz val="9"/>
        <color theme="1"/>
        <rFont val="Tahoma"/>
      </rPr>
      <t>Επωνυμία</t>
    </r>
  </si>
  <si>
    <t>Αναγράφεται η επωνυμία του συμβαλλόμενου Διαχειριστή</t>
  </si>
  <si>
    <r>
      <rPr>
        <b/>
        <vertAlign val="superscript"/>
        <sz val="9"/>
        <color theme="1"/>
        <rFont val="Tahoma"/>
      </rPr>
      <t>(2*)</t>
    </r>
    <r>
      <rPr>
        <b/>
        <sz val="9"/>
        <color theme="1"/>
        <rFont val="Tahoma"/>
      </rPr>
      <t xml:space="preserve"> Κωδικός Σύμβασης</t>
    </r>
  </si>
  <si>
    <t>Συμπληρώνεται από την Ανταποδοτική Ανακύκλωση Α.Ε. και αναγράφεται ο κωδικός της σύμβασης του Διαχειριστή με την Ανταποδοτική Ανακύκλωση Α.Ε.</t>
  </si>
  <si>
    <r>
      <rPr>
        <b/>
        <vertAlign val="superscript"/>
        <sz val="9"/>
        <color theme="1"/>
        <rFont val="Tahoma"/>
      </rPr>
      <t>(3)</t>
    </r>
    <r>
      <rPr>
        <b/>
        <sz val="9"/>
        <color theme="1"/>
        <rFont val="Tahoma"/>
      </rPr>
      <t xml:space="preserve"> Στοιχεία Εταιρίας</t>
    </r>
  </si>
  <si>
    <t>Αναγράφονται τα στοιχεία της επιχείρησης του Διαχειριστή</t>
  </si>
  <si>
    <r>
      <rPr>
        <b/>
        <vertAlign val="superscript"/>
        <sz val="9"/>
        <color theme="1"/>
        <rFont val="Tahoma"/>
      </rPr>
      <t xml:space="preserve">(4) </t>
    </r>
    <r>
      <rPr>
        <b/>
        <sz val="9"/>
        <color theme="1"/>
        <rFont val="Tahoma"/>
      </rPr>
      <t>Έτος Αναφοράς</t>
    </r>
  </si>
  <si>
    <t>Αναγράφεται το έτος στο οποίο αναφέρεται η δήλωση</t>
  </si>
  <si>
    <r>
      <rPr>
        <b/>
        <vertAlign val="superscript"/>
        <sz val="9"/>
        <color theme="1"/>
        <rFont val="Tahoma"/>
      </rPr>
      <t>(5)</t>
    </r>
    <r>
      <rPr>
        <b/>
        <sz val="9"/>
        <color theme="1"/>
        <rFont val="Tahoma"/>
      </rPr>
      <t xml:space="preserve"> Ημερομηνία Υποβολής</t>
    </r>
  </si>
  <si>
    <t>Αναγράφεται η ημερομηνία συμπλήρωσης των στοιχείων από τον Διαχειριστή</t>
  </si>
  <si>
    <r>
      <rPr>
        <b/>
        <vertAlign val="superscript"/>
        <sz val="9"/>
        <color theme="1"/>
        <rFont val="Tahoma"/>
      </rPr>
      <t>(6)</t>
    </r>
    <r>
      <rPr>
        <b/>
        <sz val="9"/>
        <color theme="1"/>
        <rFont val="Tahoma"/>
      </rPr>
      <t xml:space="preserve"> Υπεύθυνος Επικοινωνίας</t>
    </r>
  </si>
  <si>
    <t>Αναγράφεται το ονοματεπώνυμο του υπεύθυνου επικοινωνίας από το Διαχειριστή</t>
  </si>
  <si>
    <r>
      <rPr>
        <b/>
        <vertAlign val="superscript"/>
        <sz val="9"/>
        <color theme="1"/>
        <rFont val="Tahoma"/>
      </rPr>
      <t>(7)</t>
    </r>
    <r>
      <rPr>
        <b/>
        <sz val="9"/>
        <color theme="1"/>
        <rFont val="Tahoma"/>
      </rPr>
      <t xml:space="preserve"> </t>
    </r>
    <r>
      <rPr>
        <b/>
        <sz val="9"/>
        <rFont val="Tahoma"/>
      </rPr>
      <t>Συσκευασίες Μίας Χρήσης</t>
    </r>
  </si>
  <si>
    <t>Αναγράφονται οι συσκευασίες που δεν προορίζονται για περισσότερη από μία χρήση κατά τον κύκλο ζωής τους</t>
  </si>
  <si>
    <r>
      <rPr>
        <b/>
        <vertAlign val="superscript"/>
        <sz val="9"/>
        <color theme="1"/>
        <rFont val="Tahoma"/>
      </rPr>
      <t>(8)</t>
    </r>
    <r>
      <rPr>
        <b/>
        <sz val="9"/>
        <rFont val="Tahoma"/>
      </rPr>
      <t xml:space="preserve"> Επαναχρησιμοποιήσιμες Συσκευασίες</t>
    </r>
  </si>
  <si>
    <t>Αναγράφονται οι συσκευασίες που έχουν μελετηθεί, σχεδιαστεί και τοποθετηθεί στην αγορά, προκειμένου να εκπληρώσουν κατά την διάρκεια του κύκλου ζωής τους πολλαπλές διαδρομές ή επαναλαμβανόμενες χρήσεις, με την επαναπλήρωση ή την επαναχρησιμοποίησή τους για τον σκοπό για τον οποίο μελετήθηκαν</t>
  </si>
  <si>
    <r>
      <rPr>
        <b/>
        <vertAlign val="superscript"/>
        <sz val="9"/>
        <color theme="1"/>
        <rFont val="Tahoma"/>
      </rPr>
      <t>(9)</t>
    </r>
    <r>
      <rPr>
        <b/>
        <sz val="9"/>
        <rFont val="Tahoma"/>
      </rPr>
      <t xml:space="preserve"> Πρωτογενείς Συσκευασίες (Συσκευασίες προς Πώληση)</t>
    </r>
  </si>
  <si>
    <t>Αναγράφονται οι συσκευασίες που είναι σχεδιασμένες να αποτελούν, στο σημείο αγοράς, χωριστή μονάδα προς πώληση στον τελικό χρήστη ή καταναλωτή</t>
  </si>
  <si>
    <r>
      <rPr>
        <b/>
        <vertAlign val="superscript"/>
        <sz val="9"/>
        <color theme="1"/>
        <rFont val="Tahoma"/>
      </rPr>
      <t>(10)</t>
    </r>
    <r>
      <rPr>
        <b/>
        <sz val="9"/>
        <rFont val="Tahoma"/>
      </rPr>
      <t xml:space="preserve"> Δευτερογενείς Συσκευασίες (Ομαδοποιημένες Συσκευασίες)</t>
    </r>
  </si>
  <si>
    <t>Αναγράφονται οι συσκευασίες που είναι σχεδιασμένες αν αποτελούν, στο σημείο αγοράς, σύνολο ορισμένου αριθμού μονάδων προς πώληση, είτε αυτές πωλούνται ως έχουν στον τελικό χρήστη ή καταναλωτή, είτε χρησιμεύουν για την πλήρωση των εκθετηρίων στο σημείο πώλησης</t>
  </si>
  <si>
    <r>
      <rPr>
        <b/>
        <vertAlign val="superscript"/>
        <sz val="9"/>
        <color theme="1"/>
        <rFont val="Tahoma"/>
      </rPr>
      <t>(11)</t>
    </r>
    <r>
      <rPr>
        <b/>
        <sz val="9"/>
        <rFont val="Tahoma"/>
      </rPr>
      <t xml:space="preserve"> Τριτογενείς Συσκευασίες (Συσκευασίες Μεταφοράς)</t>
    </r>
  </si>
  <si>
    <t>Αναγράφονται οι συσκευασίες που είναι σχεδιασμένες να διευκολύνουν τη διακίνηση και μεταφορά αριθμού μονάδων προς πώληση ή ομαδοποιημένων συσκευασιών, προκειμένου να αποφεύγονται η δια χειρός διακίνηση και οι ζημίες κατά την μεταφορά</t>
  </si>
  <si>
    <r>
      <rPr>
        <b/>
        <vertAlign val="superscript"/>
        <sz val="9"/>
        <color theme="1"/>
        <rFont val="Tahoma"/>
      </rPr>
      <t>(12)</t>
    </r>
    <r>
      <rPr>
        <b/>
        <sz val="9"/>
        <color theme="1"/>
        <rFont val="Tahoma"/>
      </rPr>
      <t xml:space="preserve"> Βάρος συσκευασιών</t>
    </r>
  </si>
  <si>
    <t>Αναγράφεται το βάρος του υλικού των συσκευασιών σε κιλά (μέχρι δεύτερο δεκαδικό ψηφίο)</t>
  </si>
  <si>
    <r>
      <rPr>
        <b/>
        <vertAlign val="superscript"/>
        <sz val="9"/>
        <color theme="1"/>
        <rFont val="Tahoma"/>
      </rPr>
      <t>(13)</t>
    </r>
    <r>
      <rPr>
        <b/>
        <sz val="9"/>
        <color theme="1"/>
        <rFont val="Tahoma"/>
      </rPr>
      <t xml:space="preserve"> Εισφορά</t>
    </r>
  </si>
  <si>
    <r>
      <t xml:space="preserve">Αναγράφεται η εισφορά βάσει βάρους </t>
    </r>
    <r>
      <rPr>
        <b/>
        <sz val="9"/>
        <rFont val="Tahoma"/>
      </rPr>
      <t>(€/tn) σύμφωνα με τη σύμβαση</t>
    </r>
  </si>
  <si>
    <r>
      <rPr>
        <b/>
        <vertAlign val="superscript"/>
        <sz val="9"/>
        <rFont val="Tahoma"/>
      </rPr>
      <t>(14)</t>
    </r>
    <r>
      <rPr>
        <b/>
        <sz val="9"/>
        <rFont val="Tahoma"/>
      </rPr>
      <t xml:space="preserve"> Επιμέρους Εισφορά</t>
    </r>
  </si>
  <si>
    <t>Αναγράφεται η επιμέρους εισφορά η οποία υπολογίζεται πολλαπλασιάζοντας το βάρος των συσκευασιών (12) με την εισφορά (13) και διαιρώντας διά 1000 (διότι το βάρος δηλώνεται σε κιλά και η χρηματική εισφορά είναι ευρώ/τόνος).</t>
  </si>
  <si>
    <r>
      <rPr>
        <b/>
        <vertAlign val="superscript"/>
        <sz val="9"/>
        <rFont val="Tahoma"/>
      </rPr>
      <t>(15)</t>
    </r>
    <r>
      <rPr>
        <b/>
        <sz val="9"/>
        <rFont val="Tahoma"/>
      </rPr>
      <t xml:space="preserve"> Τεμάχια Συσκευασιών</t>
    </r>
  </si>
  <si>
    <t>Αναγράφεται ο αριθμός των τεμαχίων των συσκευασιών</t>
  </si>
  <si>
    <r>
      <rPr>
        <b/>
        <vertAlign val="superscript"/>
        <sz val="9"/>
        <color theme="1"/>
        <rFont val="Tahoma"/>
      </rPr>
      <t>(16)</t>
    </r>
    <r>
      <rPr>
        <b/>
        <sz val="9"/>
        <color theme="1"/>
        <rFont val="Tahoma"/>
      </rPr>
      <t xml:space="preserve"> Σταθερή Εισφορά</t>
    </r>
  </si>
  <si>
    <r>
      <t xml:space="preserve">Αναγράφεται η σταθερή εισφορά βάσει αριθμού συσκευασιών </t>
    </r>
    <r>
      <rPr>
        <b/>
        <sz val="9"/>
        <rFont val="Tahoma"/>
      </rPr>
      <t>(€/τμχ.) σύμφωνα με τη σύμβαση</t>
    </r>
  </si>
  <si>
    <r>
      <rPr>
        <b/>
        <vertAlign val="superscript"/>
        <sz val="9"/>
        <rFont val="Tahoma"/>
      </rPr>
      <t>(17)</t>
    </r>
    <r>
      <rPr>
        <b/>
        <sz val="9"/>
        <rFont val="Tahoma"/>
      </rPr>
      <t xml:space="preserve"> Επιμέρους Εισφορά</t>
    </r>
  </si>
  <si>
    <t>Αναγράφεται η επιμέρους εισφορά η οποία υπολογίζεται πολλαπλασιάζοντας τα τεμάχια των συσκευασιών (15) με τη σταθερή εισφορά (16)</t>
  </si>
  <si>
    <r>
      <rPr>
        <b/>
        <vertAlign val="superscript"/>
        <sz val="9"/>
        <rFont val="Tahoma"/>
      </rPr>
      <t>(18)</t>
    </r>
    <r>
      <rPr>
        <b/>
        <sz val="9"/>
        <rFont val="Tahoma"/>
      </rPr>
      <t xml:space="preserve"> Άλλες Συσκευασίες</t>
    </r>
  </si>
  <si>
    <t>Αναγράφονται οι συσκευασίες που αποτελούνται από ένα μόνο υλικό (π.χ. ύφασμα, κεραμικό, κλπ) διαφορετικό από τα υλικά που καταγράφονται συγκεκριμένα</t>
  </si>
  <si>
    <r>
      <rPr>
        <b/>
        <vertAlign val="superscript"/>
        <sz val="9"/>
        <rFont val="Tahoma"/>
      </rPr>
      <t>(19)</t>
    </r>
    <r>
      <rPr>
        <b/>
        <sz val="9"/>
        <rFont val="Tahoma"/>
      </rPr>
      <t xml:space="preserve"> Επιμέρους Εισφορά</t>
    </r>
  </si>
  <si>
    <r>
      <t xml:space="preserve">Tο τέλος συμμετοχής </t>
    </r>
    <r>
      <rPr>
        <b/>
        <sz val="9"/>
        <rFont val="Tahoma"/>
      </rPr>
      <t xml:space="preserve">(19) </t>
    </r>
    <r>
      <rPr>
        <b/>
        <sz val="9"/>
        <color theme="1"/>
        <rFont val="Tahoma"/>
      </rPr>
      <t>θα ανέρχεται στο τριπλάσιο της χρηματικής εισφοράς που προέκυψε από το βάρος του/των υλικού/υλικών συσκευασίας που διέθεσαν στην αγορά κατά το προηγούμενο ημερολογιακά της ένταξής τους έτος</t>
    </r>
  </si>
  <si>
    <r>
      <rPr>
        <b/>
        <vertAlign val="superscript"/>
        <sz val="9"/>
        <rFont val="Tahoma"/>
      </rPr>
      <t>(20)</t>
    </r>
    <r>
      <rPr>
        <b/>
        <sz val="9"/>
        <rFont val="Tahoma"/>
      </rPr>
      <t xml:space="preserve"> Σύνθετες Συσκευασίες</t>
    </r>
  </si>
  <si>
    <t>Αναγράφονται οι συσκευασίες που αποτελούνται από δύο ή περισσότερα υλικά, τα οποία δεν μπορούν να διαχωριστούν μεταξύ τους</t>
  </si>
  <si>
    <r>
      <rPr>
        <b/>
        <vertAlign val="superscript"/>
        <sz val="9"/>
        <rFont val="Tahoma"/>
      </rPr>
      <t>(21)</t>
    </r>
    <r>
      <rPr>
        <b/>
        <sz val="9"/>
        <rFont val="Tahoma"/>
      </rPr>
      <t xml:space="preserve"> Ανακυκλωμένο Υλικό</t>
    </r>
  </si>
  <si>
    <t xml:space="preserve">Σύμφωνα με το πρότυπο ΕΛΟΤ ΕΝ 15343 </t>
  </si>
  <si>
    <t xml:space="preserve">Η κατηγορία αυτή περιλαμβάνεται στον κεντρικό πίνακα αποτύπωσης (στα διάφορα είδη πλαστικών), αλλά εδώ σημειώνονται αναλυτικά ΜΟΝΟ τα στοιχεία </t>
  </si>
  <si>
    <t xml:space="preserve">για τις πλαστικές φιάλες ποτών μιας χρήσης που διατίθενται στην αγορά. Σημειώνεται εδώ ότι πρέπει να συμπληρώνονται όλες οι φιάλες είτε είναι από ΡΕΤ </t>
  </si>
  <si>
    <t xml:space="preserve">είτε από άλλο είδος πλαστικού διακριτά. ΔΕΝ αναφέρονται εδώ φιάλες ΡΕΤ που περιέχουν π.χ. υγρά σαπούνια, λάδια, κλπ καθώς αυτά δεν θεωρούνται ποτά. </t>
  </si>
  <si>
    <t xml:space="preserve">Όπως αναφέρεται και στις κατευθυντήριες C216/21 “Στα παραδείγματα ποτών σύμφωνα με την αιτιολογική σκέψη 12 της οδηγίας συμπεριλαμβάνονται η μπύρα, </t>
  </si>
  <si>
    <t>το κρασί, το νερό, τα υγρά αναψυκτικά, οι χυμοί και τα νέκταρ, τα στιγμιαία ποτά ή το γάλα”</t>
  </si>
  <si>
    <t>ΦΥΛΛΟ ΚΑΤΑΓΡΑΦΗΣ ΠΛΑΣΤΙΚΩΝ ΦΙΑΛΩΝ ΜΙΑΣ ΧΡΗΣΗΣ</t>
  </si>
  <si>
    <t>Εκτελεστικές Αποφάσεις 2021/1752 κ2023/2683</t>
  </si>
  <si>
    <t>τεμάχια</t>
  </si>
  <si>
    <t>βάρος πλαστικής ύλης (kg) συμπεριλαμβανομένων των καπακιών/ετικετών τους</t>
  </si>
  <si>
    <t>ποσοστό ανακυκλωμένου πλαστικού</t>
  </si>
  <si>
    <t>%</t>
  </si>
  <si>
    <t>Πλαστιές φιάλες PET ποτών μίας χρήσης που διατίθενται στην αγορά</t>
  </si>
  <si>
    <t>Άλλες πλαστικές φιάλες ποτών μίας χρήσης που διατίθενται στην αγορά (εκτός από PET)</t>
  </si>
  <si>
    <t xml:space="preserve">Σημειώνεται ότι :  </t>
  </si>
  <si>
    <t>1.</t>
  </si>
  <si>
    <t>για τη δήλωση του ανακυκλωμένου πλαστικού είναι απαραίτητο να τηρείται η αντίστοιχη τεκμηρίωση από τον υπόχρεο παραγωγό.</t>
  </si>
  <si>
    <t>2.</t>
  </si>
  <si>
    <t>οι φιάλες μίας χρήσης που (θα) δηλώνονται σε "Συλλογικό Σύστημα Εναλλακτικής Διαχείρισης Συσκευασιών Επιστροφής Εγγύησης (ΣΣΕΔ DRS) δεν θα περιλαμβάνονται στον παρόντα πίνακα (μέχρι τότε ισχύει ο παρών πίνακας).</t>
  </si>
  <si>
    <t xml:space="preserve">Περιεκτικότητα σε ανακυκλωμένο πλαστικό </t>
  </si>
  <si>
    <t xml:space="preserve">Σύμφωνα με τον Ν.4736/2020, άρθρο 6, παρ. 2 εφαρμόζονται τα ακόλουθα : </t>
  </si>
  <si>
    <t xml:space="preserve">α) </t>
  </si>
  <si>
    <r>
      <rPr>
        <b/>
        <sz val="11"/>
        <color theme="1"/>
        <rFont val="Calibri"/>
        <scheme val="minor"/>
      </rPr>
      <t>από την 1η Ιανουαρίου 2025</t>
    </r>
    <r>
      <rPr>
        <sz val="11"/>
        <color theme="1"/>
        <rFont val="Calibri"/>
        <scheme val="minor"/>
      </rPr>
      <t>, οι φιάλες ποτών οι οποίες κατασκευάζονται από τερεφθαλικό πολυαιθελένιο ως βασικό υλικό κατασκευής ("φιάλες PET"), πρέπει να περιέχουν τουλάχιστον είκοσι πέντε τοις εκατό (25%) ανακυκλωμένο πλαστικό, υπολογιζόμενο ως μέσος όρος για όλες τις φιάλες PET που διατίθενται στην αγορά</t>
    </r>
  </si>
  <si>
    <t>και</t>
  </si>
  <si>
    <t>β)</t>
  </si>
  <si>
    <r>
      <rPr>
        <b/>
        <sz val="11"/>
        <color theme="1"/>
        <rFont val="Calibri"/>
        <scheme val="minor"/>
      </rPr>
      <t>από την 1η Ιανουαρίου 2030</t>
    </r>
    <r>
      <rPr>
        <sz val="11"/>
        <color theme="1"/>
        <rFont val="Calibri"/>
        <scheme val="minor"/>
      </rPr>
      <t>, οι φιάλες ποτών πρέπει να αποτελούνται κατά τουλάχιστον τριάντα πέντε τοις εκατό (35%) από ανακυκλωμένο πλαστικό, υπολογιζόμενο ως μέσος όρος για όλες τις φιάλες ποτών που διατίθενται στην αγορά.</t>
    </r>
  </si>
  <si>
    <t>Τα παραπάνω ποσοστά εφαρμόζονται και για κάθε παραγωγό μεμονωμένα, υπολογιζόμενα ως μέσος όρος για όλες τις φιάλες PET ή για όλες τις φιάλες ποτών που διαθέτει στην αγορά κατά περίπτωση.</t>
  </si>
  <si>
    <t>ΦΥΛΛΟ ΚΑΤΑΓΡΑΦΗΣ ΓΙΑ ΚΥΠΕΛΑΚΙΑ &amp; ΠΕΡΙΕΚΤΕΣ ΤΡΟΦΙΜΩΝ ΠΟΤΩΝ ΜΙΑΣ ΧΡΗΣΗΣ</t>
  </si>
  <si>
    <t>Εκτελεστική απόφαση 2022/162</t>
  </si>
  <si>
    <t>βάρος πλαστικής ύλης (kg)</t>
  </si>
  <si>
    <t>συνολικό βάρος (kg)</t>
  </si>
  <si>
    <t>Πλαστικά κυπελάκια για ποτά μίας χρήσης, συμπεριλαμβανομένων των καλυμμάτων και των καπακιών τους, που είναι εξ ολοκλήρου κατασκευασμένα από πλαστική ύλη</t>
  </si>
  <si>
    <t>Πλαστικοί περιέκτες τροφίμων μίας χρήσης που είναι εξ ολοκλήρου κατασκευασμένοι από πλαστική ύλη</t>
  </si>
  <si>
    <t>Πλαστικά κύπελλα για ποτά μίας χρήσης, συμπεριλαμβανομένων των καλυμμάτων και των καπακιών τους, που είναι εν μέρει κατασκευασμένα από πλαστική ύλη.</t>
  </si>
  <si>
    <t>Πλαστικοί περιέκτες τροφίμων μίας χρήσης που είναι εν μέρει κατασκευασμένοι από πλαστική ύλη</t>
  </si>
  <si>
    <t>Περιέκτης τροφίμων : Όπως αναφέρεται στο μέρος Α, σημείο 2, μέρος Ε, τμήμα 1 σημείο 1 και μέρος Ζ σημείο 1 της οδηγίας (ΕΕ) 2019/904 :</t>
  </si>
  <si>
    <r>
      <t>"</t>
    </r>
    <r>
      <rPr>
        <b/>
        <sz val="11"/>
        <color theme="1"/>
        <rFont val="Calibri"/>
        <scheme val="minor"/>
      </rPr>
      <t>Περιέκτες τροφίμων</t>
    </r>
    <r>
      <rPr>
        <sz val="11"/>
        <color theme="1"/>
        <rFont val="Calibri"/>
        <scheme val="minor"/>
      </rPr>
      <t>, θεωρούνται τα δοχεία όπως κουτιά, με ή χωρίς κάλυμμα, εντός των οποίων τοποθετούνται τρόφιμα τα οποία :</t>
    </r>
  </si>
  <si>
    <t>α) προορίζονται για άμεση κατανάλωση είτε επιτόπου, είτε εκτός του καταστήματος,</t>
  </si>
  <si>
    <t xml:space="preserve">β) συνήθως καταναλώνονται από το δοχείο και </t>
  </si>
  <si>
    <t>γ) είναι έτοιμα για κατανάλωση χωρίς περαιτέρω προετοιμασία, πχ μαγείρεμα, βράσιμο ή ζέσταμα, συμπεριλαμβανομένων των περιεκτών που χρησιμοποιούνται για γεύματα ταχυφαγείων</t>
  </si>
  <si>
    <t>ή άλλα γεύματα έτοιμα προς άμεση κατανάλωση, εκτός από περιέκτες ποτών, πιάτα και πακέτα και περιτυλίγματα που περιέχουν τρόφιμα."</t>
  </si>
  <si>
    <t>Τι σημαίνει: «προορίζονται για άμεση κατανάλωση είτε επιτόπου είτε εκτός του καταστήματος» ;</t>
  </si>
  <si>
    <t xml:space="preserve">Αυτό καθορίζεται από: — τη φύση των τροφίμων που περιέχει ο περιέκτης τροφίμων: π.χ. τροφές οι οποίες, γενικά, είναι κατάλληλες για άμεση κατανάλωση είναι π.χ. οι ξηροί καρποί, τα σάντουιτς, τα γιαούρτια, οι σαλάτες και τα μαγειρεμένα γεύματα, τα φρούτα </t>
  </si>
  <si>
    <t xml:space="preserve">και τα λαχανικά. — την ενσωμάτωση ή προσάρτηση αντικειμένων, όπως πιρούνια, μαχαίρια, κουτάλια και ξυλάκια, και/ή σάλτσες στον πλαστικό περιέκτη τροφίμων μίας χρήσης. </t>
  </si>
  <si>
    <t>Παρόλα αυτά, η απουσία τέτοιων αντικειμένων δεν θα πρέπει αυτή καθαυτή να εξαιρεί το προϊόν από το πεδίο εφαρμογής της οδηγίας.</t>
  </si>
  <si>
    <t>Τι σημαίνει: «συνήθως καταναλώνονται από το δοχείο» ;</t>
  </si>
  <si>
    <t xml:space="preserve">Αυτό μπορεί να καθορίζεται από: </t>
  </si>
  <si>
    <t xml:space="preserve">— το σχήμα του περιέκτη τροφίμων επιτρέπει ή διευκολύνει την κατανάλωση της τροφής που περιέχει απευθείας από τον περιέκτη, δηλαδή με απλό άνοιγμα του περιέκτη. </t>
  </si>
  <si>
    <t>Τι σημαίνει: «είναι έτοιμα για κατανάλωση χωρίς περαιτέρω προετοιμασία», π.χ. μαγείρεμα, βράσιμο ή ζέσταμα» ;</t>
  </si>
  <si>
    <t xml:space="preserve"> Αυτό καθορίζεται από: </t>
  </si>
  <si>
    <t xml:space="preserve">— το αν οι τροφές που περιέχει ο περιέκτης τροφίμων μπορούν να καταναλωθούν χωρίς περαιτέρω προετοιμασία. </t>
  </si>
  <si>
    <t xml:space="preserve">Για παράδειγμα, οι τροφές δεν χρειάζονται ψύξη, μαγείρεμα, βράσιμο ή ζέσταμα, το οποίο συμπεριλαμβάνει τηγάνισμα, ψήσιμο στη σχάρα, μαγείρεμα στον φούρνο, μαγείρεμα στα μικροκύματα </t>
  </si>
  <si>
    <t xml:space="preserve">και φρυγάνισμα. Πάντως, το πλύσιμο, το ξεφλούδισμα ή το κόψιμο φρούτων και λαχανικών δεν θα πρέπει να θεωρείται προετοιμασία και, ως εκ τούτου, δεν αποτελεί δείκτη εξαίρεσης </t>
  </si>
  <si>
    <t xml:space="preserve">από την οδηγία, καθώς πρόκειται για διαδικασίες που μπορούν εύκολα να πραγματοποιούνται στον δρόμο. </t>
  </si>
  <si>
    <t>— το αν οι τροφές που περιέχει ο περιέκτης τροφίμων μπορούν να καταναλωθούν χωρίς την προσθήκη καρυκευμάτων ή σαλτσών (εκτός αν αυτά παρέχονται μαζί με το τρόφιμο),</t>
  </si>
  <si>
    <t xml:space="preserve"> κρύου ή ζεστού νερού ή άλλων υγρών, συμπεριλαμβανομένου του γάλακτος, πριν από την κατανάλωση της τροφής, όπως στην περίπτωση των δημητριακών </t>
  </si>
  <si>
    <t xml:space="preserve">(εκτός εάν πωλούνται ατομικές μερίδες δημητριακών μαζί με πρόσθετο περιέκτη γάλακτος σε μέγεθος ατομικής μερίδας) ή της σούπας σε σκόνη. </t>
  </si>
  <si>
    <t>Ακολουθούν κάποια παραδείγματα όπως έχουν δοθεί από την Ευρωπαϊκή Επιτροπή</t>
  </si>
  <si>
    <t>Επεξηγηματική εφαρμογή των κριτηρίων για την ερμηνεία του ορισμού των πλαστικών περιεκτών τροφίμων μίας χρήσης</t>
  </si>
  <si>
    <t>Τύπος περιέκτη τροφίμων</t>
  </si>
  <si>
    <t>Γενικά κριτήρια</t>
  </si>
  <si>
    <t>Γενικά ανα προϊόν κριτήρια</t>
  </si>
  <si>
    <t>Συμπεριλαμβάνεται ή εξαιρείται από το πεδίο εφαρμογής της οδηγίας (πληροί όλα τα ειδικά και ανά προϊόν κριτήρια;)</t>
  </si>
  <si>
    <t xml:space="preserve">Πλαστικό </t>
  </si>
  <si>
    <t>Μίας χρήσης</t>
  </si>
  <si>
    <t>Προορίζεται για άμεση κατανάλωση</t>
  </si>
  <si>
    <t>Συνήθως καταναλώνεται από το δοχείο</t>
  </si>
  <si>
    <t>Έτοιμο προς κατανάλωση χωρίς περαιτέρω προετοιμασία</t>
  </si>
  <si>
    <t>Πλαστικός περιέκτης τροφίμων που περιέχει μερίδα ζεστού γεύματος</t>
  </si>
  <si>
    <t>Συμπεριλαμβάνεται</t>
  </si>
  <si>
    <t>Πλαστικός περιέκτης τροφίμων που περιέχει μερίδα κρύου γεύματος</t>
  </si>
  <si>
    <t>Περιέκτης τροφίμων από χαρτόνι με πλαστική επένδυση ή επίστρωση που προορίζεται για ζεστό ή κρύο γεύμα</t>
  </si>
  <si>
    <t>Πλαστικός περιέκτης τροφίμων που περιέχει επιδόρπιο</t>
  </si>
  <si>
    <t>Πλαστικός περιέκτης τροφίμων που περιέχει λαχανικά ή φρούτα</t>
  </si>
  <si>
    <t>Πλαστικός περιέκτης τροφίμων που περιέχει ελαφρύ γεύμα, όπως ξηρούς καρπούς, κράκερ</t>
  </si>
  <si>
    <t>Πλαστικός περιέκτης τροφίμων που περιέχει σάλτσες και είδη επάλειψης (π.χ. μουστάρδα, κέτσαπ ή ντιπ)</t>
  </si>
  <si>
    <t>Πλαστικός περιέκτης τροφίμων που περιέχει λαχανικά ή φρούτα τα οποία δεν χρειάζονται περαιτέρω προετοιμασία</t>
  </si>
  <si>
    <t>Πλαστικός περιέκτης τροφίμων που περιέχει κατεψυγμένο γεύμα για το οποίο απαιτείται περαιτέρω προετοιμασία</t>
  </si>
  <si>
    <t>Εξαιρείται</t>
  </si>
  <si>
    <t>Δεν πωλείται συνήθως για κατανάλωση εκτός του καταστήματος - οι τροφές χρειάζονται προετοιμασία</t>
  </si>
  <si>
    <t>Περιέκτης παγωτού από χαρτόνι με πλαστική επικάλυψη από το  οποίο το τρόφιμο συνήθως καταναλώνεται απευθείας</t>
  </si>
  <si>
    <t>Περιέκτες ιχθύων, δίσκοι κρέατος από πλαστική ύλη που περιέχουν συσκευασμένα τρόφιμα τα οποία δεν προορίζονται για άμεση κατανάλωση, δεν καταναλώνονται συνήθως από τον περιέκτη τροφίμων και δεν είναι έτοιμα προς κατανάλωση χωρίς περαιτέρω προετοιμασία</t>
  </si>
  <si>
    <t>Οι τροφές χρειάζονται περαιτέρω προετοιμασία και δεν καταναλώνονται συνήθως από τον περιέκτη τροφίμων</t>
  </si>
  <si>
    <t>Πλαστικός περιέκτης τροφίμων που περιέχει αποξηραμένα τρόφιμα ή τροφές για τις οποίες απαιτείται προσθήκη ζεστού νερού στο δοχείο (π.χ. νουντλς, σούπες σε σκόνη)</t>
  </si>
  <si>
    <t>Τροφές που χρειάζονται περαιτέρω προετοιμασία. Δεν πωλούνται συνήθως για κατανάλωση εκτός του καταστήματος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</si>
</sst>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0.0000\ &quot;€&quot;"/>
  </numFmts>
  <fonts count="24" x14ac:knownFonts="1">
    <font>
      <sz val="11"/>
      <color theme="1"/>
      <name val="Calibri"/>
      <scheme val="minor"/>
    </font>
    <font>
      <u/>
      <sz val="11"/>
      <color theme="10"/>
      <name val="Calibri"/>
      <scheme val="minor"/>
    </font>
    <font>
      <sz val="9"/>
      <color theme="1"/>
      <name val="Calibri"/>
      <scheme val="minor"/>
    </font>
    <font>
      <b/>
      <u/>
      <sz val="12"/>
      <name val="Tahoma"/>
    </font>
    <font>
      <b/>
      <sz val="9"/>
      <name val="Tahoma"/>
    </font>
    <font>
      <b/>
      <sz val="9"/>
      <color theme="1"/>
      <name val="Tahoma"/>
    </font>
    <font>
      <b/>
      <sz val="9"/>
      <color rgb="FFC00000"/>
      <name val="Tahoma"/>
    </font>
    <font>
      <b/>
      <sz val="11"/>
      <color theme="1"/>
      <name val="Calibri"/>
      <scheme val="minor"/>
    </font>
    <font>
      <b/>
      <i/>
      <sz val="9"/>
      <name val="Tahoma"/>
    </font>
    <font>
      <b/>
      <u/>
      <sz val="11"/>
      <color rgb="FF00B0F0"/>
      <name val="Calibri"/>
      <scheme val="minor"/>
    </font>
    <font>
      <b/>
      <u/>
      <sz val="11"/>
      <color theme="10"/>
      <name val="Calibri"/>
      <scheme val="minor"/>
    </font>
    <font>
      <b/>
      <sz val="11"/>
      <color theme="10"/>
      <name val="Calibri"/>
      <scheme val="minor"/>
    </font>
    <font>
      <b/>
      <sz val="12"/>
      <color theme="1"/>
      <name val="Calibri"/>
      <scheme val="minor"/>
    </font>
    <font>
      <b/>
      <i/>
      <u/>
      <sz val="9"/>
      <color theme="1"/>
      <name val="Tahoma"/>
    </font>
    <font>
      <b/>
      <i/>
      <u/>
      <sz val="9"/>
      <name val="Tahoma"/>
    </font>
    <font>
      <b/>
      <u/>
      <sz val="11"/>
      <color theme="1"/>
      <name val="Calibri"/>
      <scheme val="minor"/>
    </font>
    <font>
      <b/>
      <vertAlign val="superscript"/>
      <sz val="9"/>
      <name val="Tahoma"/>
    </font>
    <font>
      <b/>
      <vertAlign val="superscript"/>
      <sz val="9"/>
      <color theme="1"/>
      <name val="Tahoma"/>
    </font>
    <font>
      <b/>
      <vertAlign val="superscript"/>
      <sz val="11"/>
      <color theme="1"/>
      <name val="Calibri"/>
      <scheme val="minor"/>
    </font>
    <font>
      <b/>
      <i/>
      <vertAlign val="superscript"/>
      <sz val="9"/>
      <name val="Tahoma"/>
    </font>
    <font>
      <b/>
      <u/>
      <sz val="9"/>
      <name val="Tahoma"/>
    </font>
    <font>
      <b/>
      <vertAlign val="superscript"/>
      <sz val="10"/>
      <name val="Tahoma"/>
    </font>
    <font>
      <b/>
      <vertAlign val="superscript"/>
      <sz val="12"/>
      <color theme="1"/>
      <name val="Calibri"/>
      <scheme val="minor"/>
    </font>
    <font>
      <b/>
      <sz val="9"/>
      <name val="Times New Roman"/>
    </font>
  </fonts>
  <fills count="17">
    <fill>
      <patternFill patternType="none"/>
    </fill>
    <fill>
      <patternFill patternType="gray125"/>
    </fill>
    <fill>
      <patternFill patternType="solid">
        <fgColor theme="0"/>
      </patternFill>
    </fill>
    <fill>
      <patternFill patternType="solid">
        <fgColor rgb="FFD9D9D9"/>
      </patternFill>
    </fill>
    <fill>
      <patternFill patternType="solid">
        <fgColor rgb="FF00B0F0"/>
      </patternFill>
    </fill>
    <fill>
      <patternFill patternType="solid">
        <fgColor theme="7" tint="0.59999389629810485"/>
        <bgColor indexed="65"/>
      </patternFill>
    </fill>
    <fill>
      <patternFill patternType="solid">
        <fgColor indexed="2"/>
      </patternFill>
    </fill>
    <fill>
      <patternFill patternType="solid">
        <fgColor rgb="FF92D050"/>
      </patternFill>
    </fill>
    <fill>
      <patternFill patternType="solid">
        <fgColor theme="7" tint="0.39997558519241921"/>
        <bgColor indexed="65"/>
      </patternFill>
    </fill>
    <fill>
      <patternFill patternType="solid">
        <fgColor theme="4" tint="0.59999389629810485"/>
        <bgColor indexed="65"/>
      </patternFill>
    </fill>
    <fill>
      <patternFill patternType="solid">
        <fgColor rgb="FFFFC000"/>
      </patternFill>
    </fill>
    <fill>
      <patternFill patternType="solid">
        <fgColor theme="7" tint="0.79998168889431442"/>
        <bgColor indexed="65"/>
      </patternFill>
    </fill>
    <fill>
      <patternFill patternType="solid">
        <fgColor indexed="5"/>
      </patternFill>
    </fill>
    <fill>
      <patternFill patternType="solid">
        <fgColor theme="1"/>
      </patternFill>
    </fill>
    <fill>
      <patternFill patternType="solid">
        <fgColor indexed="65"/>
      </patternFill>
    </fill>
    <fill>
      <patternFill patternType="solid">
        <fgColor theme="3" tint="0.39997558519241921"/>
        <bgColor indexed="65"/>
      </patternFill>
    </fill>
    <fill>
      <patternFill patternType="solid">
        <fgColor theme="9" tint="0.39997558519241921"/>
        <bgColor indexed="65"/>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right style="thin">
        <color auto="1"/>
      </right>
      <top/>
      <bottom/>
      <diagonal/>
    </border>
  </borders>
  <cellStyleXfs count="2">
    <xf numFmtId="0" fontId="0" fillId="0" borderId="0"/>
    <xf numFmtId="0" fontId="1" fillId="0" borderId="0" applyNumberFormat="0" applyFill="0" applyBorder="0" applyProtection="0"/>
  </cellStyleXfs>
  <cellXfs count="219">
    <xf numFmtId="0" fontId="0" fillId="0" borderId="0" xfId="0"/>
    <xf numFmtId="0" fontId="2" fillId="0" borderId="0" xfId="0" applyFont="1"/>
    <xf numFmtId="0" fontId="2" fillId="2" borderId="0" xfId="0" applyFont="1" applyFill="1"/>
    <xf numFmtId="0" fontId="0" fillId="2" borderId="0" xfId="0" applyFill="1"/>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5" fillId="2" borderId="0" xfId="0" applyFont="1" applyFill="1" applyAlignment="1">
      <alignment vertical="center"/>
    </xf>
    <xf numFmtId="0" fontId="5" fillId="0" borderId="0" xfId="0" applyFont="1" applyAlignment="1">
      <alignment vertical="center"/>
    </xf>
    <xf numFmtId="0" fontId="5" fillId="2" borderId="0" xfId="0" applyFont="1" applyFill="1" applyAlignment="1">
      <alignment vertical="center" wrapText="1"/>
    </xf>
    <xf numFmtId="2" fontId="5" fillId="0" borderId="2" xfId="0" applyNumberFormat="1" applyFont="1" applyBorder="1" applyAlignment="1">
      <alignment horizontal="center" vertical="center"/>
    </xf>
    <xf numFmtId="0" fontId="6" fillId="2" borderId="0" xfId="0" applyFont="1" applyFill="1" applyAlignment="1">
      <alignment vertical="center"/>
    </xf>
    <xf numFmtId="0" fontId="7" fillId="4" borderId="1" xfId="0" applyFont="1" applyFill="1" applyBorder="1" applyAlignment="1">
      <alignment horizontal="center" vertical="center" wrapText="1"/>
    </xf>
    <xf numFmtId="0" fontId="0" fillId="6" borderId="1" xfId="0" applyFill="1" applyBorder="1"/>
    <xf numFmtId="0" fontId="8" fillId="10" borderId="1" xfId="0" applyFont="1" applyFill="1" applyBorder="1" applyAlignment="1">
      <alignment horizontal="center" vertical="center"/>
    </xf>
    <xf numFmtId="0" fontId="8" fillId="11" borderId="1" xfId="0" applyFont="1" applyFill="1" applyBorder="1" applyAlignment="1">
      <alignment horizontal="center" vertical="center" wrapText="1"/>
    </xf>
    <xf numFmtId="0" fontId="4" fillId="10" borderId="1" xfId="0" applyFont="1" applyFill="1" applyBorder="1" applyAlignment="1">
      <alignment vertical="center"/>
    </xf>
    <xf numFmtId="2" fontId="4" fillId="0" borderId="1" xfId="0" applyNumberFormat="1" applyFont="1" applyBorder="1" applyAlignment="1">
      <alignment horizontal="center" vertical="center"/>
    </xf>
    <xf numFmtId="1" fontId="4" fillId="0" borderId="1" xfId="0" applyNumberFormat="1" applyFont="1" applyBorder="1" applyAlignment="1">
      <alignment horizontal="center" vertical="center"/>
    </xf>
    <xf numFmtId="0" fontId="4" fillId="10" borderId="1" xfId="0" applyFont="1" applyFill="1" applyBorder="1" applyAlignment="1">
      <alignment vertical="center" wrapText="1"/>
    </xf>
    <xf numFmtId="0" fontId="4" fillId="12" borderId="1" xfId="0" applyFont="1" applyFill="1" applyBorder="1" applyAlignment="1">
      <alignment vertical="center" wrapText="1"/>
    </xf>
    <xf numFmtId="0" fontId="9" fillId="12" borderId="1" xfId="1" applyFont="1" applyFill="1" applyBorder="1" applyAlignment="1">
      <alignment horizontal="center" vertical="center" wrapText="1"/>
    </xf>
    <xf numFmtId="0" fontId="9" fillId="12" borderId="1" xfId="1" quotePrefix="1" applyFont="1" applyFill="1" applyBorder="1" applyAlignment="1">
      <alignment horizontal="center" vertical="center"/>
    </xf>
    <xf numFmtId="0" fontId="4" fillId="13" borderId="1" xfId="0" applyFont="1" applyFill="1" applyBorder="1" applyAlignment="1">
      <alignment vertical="center" wrapText="1"/>
    </xf>
    <xf numFmtId="0" fontId="4" fillId="14" borderId="1" xfId="0" applyFont="1" applyFill="1" applyBorder="1" applyAlignment="1">
      <alignment horizontal="left" vertical="center" wrapText="1"/>
    </xf>
    <xf numFmtId="2" fontId="5" fillId="0" borderId="1" xfId="0" applyNumberFormat="1" applyFont="1" applyBorder="1" applyAlignment="1">
      <alignment horizontal="center" vertical="center"/>
    </xf>
    <xf numFmtId="1" fontId="5" fillId="0" borderId="1" xfId="0" applyNumberFormat="1" applyFont="1" applyBorder="1" applyAlignment="1">
      <alignment horizontal="center" vertical="center"/>
    </xf>
    <xf numFmtId="164" fontId="0" fillId="0" borderId="1" xfId="0" applyNumberFormat="1" applyBorder="1"/>
    <xf numFmtId="0" fontId="6" fillId="12" borderId="1" xfId="0" applyFont="1" applyFill="1" applyBorder="1" applyAlignment="1">
      <alignment horizontal="center" vertical="center"/>
    </xf>
    <xf numFmtId="0" fontId="6" fillId="13" borderId="1" xfId="0" applyFont="1" applyFill="1" applyBorder="1" applyAlignment="1">
      <alignment horizontal="center" vertical="center"/>
    </xf>
    <xf numFmtId="0" fontId="5" fillId="13" borderId="1" xfId="0" applyFont="1" applyFill="1" applyBorder="1" applyAlignment="1">
      <alignment horizontal="center" vertical="center"/>
    </xf>
    <xf numFmtId="0" fontId="4" fillId="13" borderId="1" xfId="0" applyFont="1" applyFill="1" applyBorder="1" applyAlignment="1">
      <alignment vertical="center"/>
    </xf>
    <xf numFmtId="0" fontId="4" fillId="13" borderId="1" xfId="0" applyFont="1" applyFill="1" applyBorder="1" applyAlignment="1">
      <alignment horizontal="center" vertical="center"/>
    </xf>
    <xf numFmtId="0" fontId="6" fillId="13" borderId="1" xfId="0" applyFont="1" applyFill="1" applyBorder="1" applyAlignment="1">
      <alignment vertical="center"/>
    </xf>
    <xf numFmtId="0" fontId="0" fillId="13" borderId="1" xfId="0" applyFill="1" applyBorder="1"/>
    <xf numFmtId="0" fontId="5" fillId="12" borderId="1" xfId="0" applyFont="1" applyFill="1" applyBorder="1" applyAlignment="1">
      <alignment horizontal="center" vertical="center"/>
    </xf>
    <xf numFmtId="0" fontId="4" fillId="10" borderId="1" xfId="0" applyFont="1" applyFill="1" applyBorder="1" applyAlignment="1">
      <alignment horizontal="left" vertical="center" wrapText="1"/>
    </xf>
    <xf numFmtId="0" fontId="10" fillId="12" borderId="0" xfId="1" applyFont="1" applyFill="1" applyAlignment="1">
      <alignment horizontal="center" vertical="center"/>
    </xf>
    <xf numFmtId="0" fontId="11" fillId="12" borderId="0" xfId="1" applyFont="1" applyFill="1" applyAlignment="1">
      <alignment horizontal="center" vertical="center"/>
    </xf>
    <xf numFmtId="0" fontId="1" fillId="12" borderId="0" xfId="1" applyFill="1" applyAlignment="1">
      <alignment horizontal="center" vertical="center"/>
    </xf>
    <xf numFmtId="0" fontId="4" fillId="10" borderId="1" xfId="0" applyFont="1" applyFill="1" applyBorder="1" applyAlignment="1">
      <alignment horizontal="center" vertical="center" wrapText="1"/>
    </xf>
    <xf numFmtId="0" fontId="4" fillId="0" borderId="1" xfId="0" applyFont="1" applyBorder="1" applyAlignment="1">
      <alignment vertical="center" wrapText="1"/>
    </xf>
    <xf numFmtId="0" fontId="10" fillId="0" borderId="0" xfId="1" applyFont="1" applyAlignment="1">
      <alignment horizontal="center" vertical="center"/>
    </xf>
    <xf numFmtId="0" fontId="9" fillId="0" borderId="1" xfId="1" quotePrefix="1" applyFont="1" applyBorder="1" applyAlignment="1">
      <alignment horizontal="center" vertical="center"/>
    </xf>
    <xf numFmtId="0" fontId="0" fillId="0" borderId="1" xfId="0" applyBorder="1"/>
    <xf numFmtId="0" fontId="4" fillId="7" borderId="0" xfId="0" applyFont="1" applyFill="1" applyAlignment="1">
      <alignment horizontal="center" vertical="center"/>
    </xf>
    <xf numFmtId="0" fontId="4" fillId="2" borderId="0" xfId="0" applyFont="1" applyFill="1" applyAlignment="1">
      <alignment horizontal="center" vertical="center"/>
    </xf>
    <xf numFmtId="164" fontId="4" fillId="2" borderId="0" xfId="0" applyNumberFormat="1" applyFont="1" applyFill="1" applyAlignment="1">
      <alignment horizontal="center" vertical="center"/>
    </xf>
    <xf numFmtId="0" fontId="4" fillId="2" borderId="0" xfId="0" applyFont="1" applyFill="1" applyAlignment="1">
      <alignment vertical="center"/>
    </xf>
    <xf numFmtId="0" fontId="8" fillId="11" borderId="1" xfId="0" applyFont="1" applyFill="1" applyBorder="1" applyAlignment="1">
      <alignment vertical="center"/>
    </xf>
    <xf numFmtId="0" fontId="8" fillId="0" borderId="1" xfId="0" applyFont="1" applyBorder="1" applyAlignment="1">
      <alignment vertical="center"/>
    </xf>
    <xf numFmtId="0" fontId="14" fillId="4" borderId="6" xfId="0" applyFont="1" applyFill="1" applyBorder="1" applyAlignment="1">
      <alignment horizontal="center" vertical="center" wrapText="1"/>
    </xf>
    <xf numFmtId="0" fontId="5" fillId="11"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7" fillId="10" borderId="0" xfId="0" applyFont="1" applyFill="1" applyAlignment="1">
      <alignment vertical="center"/>
    </xf>
    <xf numFmtId="0" fontId="0" fillId="2" borderId="0" xfId="0" applyFill="1" applyAlignment="1">
      <alignment horizontal="center" vertical="center" wrapText="1"/>
    </xf>
    <xf numFmtId="0" fontId="7" fillId="2" borderId="0" xfId="0" applyFont="1" applyFill="1"/>
    <xf numFmtId="0" fontId="7" fillId="2" borderId="0" xfId="0" applyFont="1" applyFill="1" applyAlignment="1">
      <alignment horizontal="center" vertical="center"/>
    </xf>
    <xf numFmtId="0" fontId="15" fillId="2" borderId="0" xfId="0" applyFont="1" applyFill="1"/>
    <xf numFmtId="0" fontId="3" fillId="0" borderId="0" xfId="0" applyFont="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4"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 xfId="0" applyFont="1" applyFill="1" applyBorder="1" applyAlignment="1">
      <alignment horizontal="center" vertical="center"/>
    </xf>
    <xf numFmtId="0" fontId="5" fillId="0" borderId="1" xfId="0" applyFont="1" applyBorder="1" applyAlignment="1">
      <alignment horizontal="center" vertical="center" wrapText="1"/>
    </xf>
    <xf numFmtId="0" fontId="5" fillId="5" borderId="1" xfId="0" applyFont="1" applyFill="1" applyBorder="1" applyAlignment="1">
      <alignment horizontal="center" vertical="center"/>
    </xf>
    <xf numFmtId="0" fontId="5" fillId="0" borderId="1" xfId="0" applyFont="1" applyBorder="1" applyAlignment="1">
      <alignment horizontal="center" vertical="center"/>
    </xf>
    <xf numFmtId="49" fontId="5" fillId="0" borderId="1" xfId="0" applyNumberFormat="1" applyFont="1" applyBorder="1" applyAlignment="1">
      <alignment horizontal="center" vertical="center"/>
    </xf>
    <xf numFmtId="0" fontId="5" fillId="5" borderId="2" xfId="0" applyFont="1" applyFill="1" applyBorder="1" applyAlignment="1">
      <alignment horizontal="center" vertical="center"/>
    </xf>
    <xf numFmtId="0" fontId="5" fillId="0" borderId="2" xfId="0" applyFont="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7" fillId="4" borderId="1" xfId="0" applyFont="1" applyFill="1" applyBorder="1" applyAlignment="1">
      <alignment horizontal="center" vertical="center" wrapText="1"/>
    </xf>
    <xf numFmtId="0" fontId="7" fillId="6" borderId="1" xfId="0" applyFont="1" applyFill="1" applyBorder="1" applyAlignment="1">
      <alignment horizontal="center" vertical="center"/>
    </xf>
    <xf numFmtId="0" fontId="7" fillId="4" borderId="1" xfId="0" applyFont="1" applyFill="1" applyBorder="1" applyAlignment="1">
      <alignment horizontal="center" vertical="center"/>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8" fillId="11" borderId="1" xfId="0" applyFont="1" applyFill="1" applyBorder="1" applyAlignment="1">
      <alignment horizontal="center" vertical="center" wrapText="1"/>
    </xf>
    <xf numFmtId="0" fontId="8" fillId="11" borderId="1" xfId="0" applyFont="1" applyFill="1" applyBorder="1" applyAlignment="1">
      <alignment horizontal="center" vertical="center"/>
    </xf>
    <xf numFmtId="2" fontId="4" fillId="0" borderId="1" xfId="0" applyNumberFormat="1" applyFont="1" applyBorder="1" applyAlignment="1">
      <alignment horizontal="center" vertical="center"/>
    </xf>
    <xf numFmtId="1" fontId="4" fillId="0" borderId="1" xfId="0" applyNumberFormat="1" applyFont="1" applyBorder="1" applyAlignment="1">
      <alignment horizontal="center" vertical="center"/>
    </xf>
    <xf numFmtId="164" fontId="5"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165" fontId="4" fillId="0" borderId="1" xfId="0" applyNumberFormat="1" applyFont="1" applyBorder="1" applyAlignment="1">
      <alignment horizontal="center" vertical="center"/>
    </xf>
    <xf numFmtId="0" fontId="4" fillId="2" borderId="1" xfId="0" applyFont="1" applyFill="1" applyBorder="1" applyAlignment="1">
      <alignment horizontal="center" vertical="center" wrapText="1"/>
    </xf>
    <xf numFmtId="0" fontId="9" fillId="12" borderId="1" xfId="1" applyFont="1" applyFill="1" applyBorder="1" applyAlignment="1">
      <alignment horizontal="center" vertical="center" wrapText="1"/>
    </xf>
    <xf numFmtId="0" fontId="4" fillId="13" borderId="1" xfId="0" applyFont="1" applyFill="1" applyBorder="1" applyAlignment="1">
      <alignment horizontal="center" vertical="center" wrapText="1"/>
    </xf>
    <xf numFmtId="2" fontId="5" fillId="0" borderId="1" xfId="0" applyNumberFormat="1" applyFont="1" applyBorder="1" applyAlignment="1">
      <alignment horizontal="center" vertical="center"/>
    </xf>
    <xf numFmtId="1" fontId="5" fillId="0" borderId="1" xfId="0" applyNumberFormat="1" applyFont="1" applyBorder="1" applyAlignment="1">
      <alignment horizontal="center" vertical="center"/>
    </xf>
    <xf numFmtId="165" fontId="7" fillId="0" borderId="1" xfId="0" applyNumberFormat="1" applyFont="1" applyBorder="1" applyAlignment="1">
      <alignment horizontal="center" vertical="center"/>
    </xf>
    <xf numFmtId="0" fontId="4" fillId="15" borderId="1" xfId="0" applyFont="1" applyFill="1" applyBorder="1" applyAlignment="1">
      <alignment horizontal="center" vertical="center" wrapText="1"/>
    </xf>
    <xf numFmtId="0" fontId="4" fillId="4" borderId="1" xfId="0" applyFont="1" applyFill="1" applyBorder="1" applyAlignment="1">
      <alignment horizontal="center" vertical="center"/>
    </xf>
    <xf numFmtId="2" fontId="5" fillId="15" borderId="1" xfId="0" applyNumberFormat="1" applyFont="1" applyFill="1" applyBorder="1" applyAlignment="1">
      <alignment horizontal="center" vertical="center"/>
    </xf>
    <xf numFmtId="0" fontId="5" fillId="15" borderId="1" xfId="0" applyFont="1" applyFill="1" applyBorder="1" applyAlignment="1">
      <alignment horizontal="center" vertical="center"/>
    </xf>
    <xf numFmtId="0" fontId="6" fillId="13" borderId="1" xfId="0" applyFont="1" applyFill="1" applyBorder="1" applyAlignment="1">
      <alignment horizontal="center" vertical="center"/>
    </xf>
    <xf numFmtId="0" fontId="6" fillId="4" borderId="1" xfId="0" applyFont="1" applyFill="1" applyBorder="1" applyAlignment="1">
      <alignment horizontal="center" vertical="center"/>
    </xf>
    <xf numFmtId="0" fontId="4" fillId="0" borderId="1" xfId="0" applyFont="1" applyBorder="1" applyAlignment="1">
      <alignment horizontal="center" vertical="center" wrapText="1"/>
    </xf>
    <xf numFmtId="0" fontId="9" fillId="0" borderId="1" xfId="1" applyFont="1" applyBorder="1" applyAlignment="1">
      <alignment horizontal="center" vertical="center" wrapText="1"/>
    </xf>
    <xf numFmtId="2" fontId="5" fillId="13" borderId="1" xfId="0" applyNumberFormat="1" applyFont="1" applyFill="1" applyBorder="1" applyAlignment="1">
      <alignment horizontal="center" vertical="center"/>
    </xf>
    <xf numFmtId="164" fontId="4" fillId="4" borderId="1" xfId="0" applyNumberFormat="1" applyFont="1" applyFill="1" applyBorder="1" applyAlignment="1">
      <alignment horizontal="center" vertical="center"/>
    </xf>
    <xf numFmtId="164" fontId="4" fillId="7" borderId="0" xfId="0" applyNumberFormat="1" applyFont="1" applyFill="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5" xfId="0" applyFont="1" applyFill="1" applyBorder="1" applyAlignment="1">
      <alignment horizontal="center" vertical="center"/>
    </xf>
    <xf numFmtId="0" fontId="12" fillId="10" borderId="0" xfId="0" applyFont="1" applyFill="1" applyAlignment="1">
      <alignment horizontal="center" vertical="center" wrapText="1"/>
    </xf>
    <xf numFmtId="0" fontId="8" fillId="11" borderId="6" xfId="0" applyFont="1" applyFill="1" applyBorder="1" applyAlignment="1">
      <alignment horizontal="center" vertical="center"/>
    </xf>
    <xf numFmtId="0" fontId="8" fillId="11" borderId="7" xfId="0" applyFont="1" applyFill="1" applyBorder="1" applyAlignment="1">
      <alignment horizontal="center" vertical="center"/>
    </xf>
    <xf numFmtId="0" fontId="8" fillId="11" borderId="8" xfId="0" applyFont="1" applyFill="1" applyBorder="1" applyAlignment="1">
      <alignment horizontal="center" vertical="center"/>
    </xf>
    <xf numFmtId="0" fontId="8" fillId="11" borderId="9" xfId="0" applyFont="1" applyFill="1" applyBorder="1" applyAlignment="1">
      <alignment horizontal="center" vertical="center"/>
    </xf>
    <xf numFmtId="0" fontId="8" fillId="11" borderId="10" xfId="0" applyFont="1" applyFill="1" applyBorder="1" applyAlignment="1">
      <alignment horizontal="center" vertical="center"/>
    </xf>
    <xf numFmtId="0" fontId="8" fillId="11" borderId="11" xfId="0" applyFont="1" applyFill="1" applyBorder="1" applyAlignment="1">
      <alignment horizontal="center" vertical="center"/>
    </xf>
    <xf numFmtId="164" fontId="5" fillId="12" borderId="1" xfId="0" applyNumberFormat="1" applyFont="1" applyFill="1" applyBorder="1" applyAlignment="1">
      <alignment horizontal="center" vertical="center"/>
    </xf>
    <xf numFmtId="0" fontId="8" fillId="0" borderId="1" xfId="0" applyFont="1" applyBorder="1" applyAlignment="1">
      <alignment horizontal="center" vertical="center"/>
    </xf>
    <xf numFmtId="0" fontId="4" fillId="0" borderId="1" xfId="0" applyFont="1" applyBorder="1" applyAlignment="1">
      <alignment horizontal="center" vertical="center"/>
    </xf>
    <xf numFmtId="0" fontId="4" fillId="16" borderId="1" xfId="0" applyFont="1" applyFill="1" applyBorder="1" applyAlignment="1">
      <alignment horizontal="center" vertical="center"/>
    </xf>
    <xf numFmtId="164" fontId="4" fillId="16" borderId="1" xfId="0" applyNumberFormat="1" applyFont="1" applyFill="1" applyBorder="1" applyAlignment="1">
      <alignment horizontal="center" vertical="center"/>
    </xf>
    <xf numFmtId="0" fontId="13" fillId="4"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14" fillId="4" borderId="3"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4" fillId="5" borderId="12" xfId="0" applyFont="1" applyFill="1" applyBorder="1" applyAlignment="1">
      <alignment horizontal="center" vertical="center" wrapText="1"/>
    </xf>
    <xf numFmtId="0" fontId="4" fillId="5" borderId="13" xfId="0" applyFont="1" applyFill="1" applyBorder="1" applyAlignment="1">
      <alignment horizontal="center" vertical="center" wrapText="1"/>
    </xf>
    <xf numFmtId="0" fontId="14" fillId="4" borderId="6" xfId="0" applyFont="1" applyFill="1" applyBorder="1" applyAlignment="1">
      <alignment horizontal="center" vertical="center" wrapText="1"/>
    </xf>
    <xf numFmtId="0" fontId="14" fillId="4" borderId="7"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2" fillId="12" borderId="1" xfId="0" applyFont="1" applyFill="1" applyBorder="1"/>
    <xf numFmtId="0" fontId="5" fillId="0" borderId="10" xfId="0" applyFont="1" applyBorder="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xf>
    <xf numFmtId="0" fontId="0" fillId="2" borderId="0" xfId="0" applyFill="1" applyAlignment="1">
      <alignment horizontal="center" vertical="center"/>
    </xf>
    <xf numFmtId="0" fontId="3" fillId="2" borderId="0" xfId="0" applyFont="1" applyFill="1" applyAlignment="1">
      <alignment horizontal="center" vertical="center"/>
    </xf>
    <xf numFmtId="0" fontId="7" fillId="2" borderId="0" xfId="0" applyFont="1" applyFill="1" applyAlignment="1">
      <alignment horizontal="center" vertical="center"/>
    </xf>
    <xf numFmtId="0" fontId="0" fillId="0" borderId="1" xfId="0" applyBorder="1" applyAlignment="1">
      <alignment horizontal="center"/>
    </xf>
    <xf numFmtId="0" fontId="0" fillId="0" borderId="3"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12" borderId="6" xfId="0" applyFill="1" applyBorder="1" applyAlignment="1">
      <alignment horizontal="center" vertical="center"/>
    </xf>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2" borderId="9" xfId="0" applyFill="1" applyBorder="1" applyAlignment="1">
      <alignment horizontal="center" vertical="center"/>
    </xf>
    <xf numFmtId="0" fontId="0" fillId="12" borderId="10" xfId="0" applyFill="1" applyBorder="1" applyAlignment="1">
      <alignment horizontal="center" vertical="center"/>
    </xf>
    <xf numFmtId="0" fontId="0" fillId="12" borderId="11" xfId="0" applyFill="1" applyBorder="1" applyAlignment="1">
      <alignment horizontal="center" vertical="center"/>
    </xf>
    <xf numFmtId="0" fontId="7" fillId="10" borderId="1" xfId="0" applyFont="1" applyFill="1" applyBorder="1" applyAlignment="1">
      <alignment horizontal="center" vertical="center" wrapText="1"/>
    </xf>
    <xf numFmtId="0" fontId="0" fillId="12" borderId="1" xfId="0" applyFill="1" applyBorder="1" applyAlignment="1">
      <alignment horizontal="center"/>
    </xf>
    <xf numFmtId="0" fontId="7" fillId="10" borderId="1" xfId="0" applyFont="1" applyFill="1" applyBorder="1" applyAlignment="1">
      <alignment horizontal="center" vertical="center"/>
    </xf>
    <xf numFmtId="0" fontId="0" fillId="12" borderId="6" xfId="0" applyFill="1" applyBorder="1" applyAlignment="1">
      <alignment horizontal="center"/>
    </xf>
    <xf numFmtId="0" fontId="0" fillId="12" borderId="8" xfId="0" applyFill="1" applyBorder="1" applyAlignment="1">
      <alignment horizontal="center"/>
    </xf>
    <xf numFmtId="0" fontId="0" fillId="12" borderId="9" xfId="0" applyFill="1" applyBorder="1" applyAlignment="1">
      <alignment horizontal="center"/>
    </xf>
    <xf numFmtId="0" fontId="0" fillId="12" borderId="11" xfId="0" applyFill="1" applyBorder="1" applyAlignment="1">
      <alignment horizontal="center"/>
    </xf>
    <xf numFmtId="0" fontId="3" fillId="4" borderId="0" xfId="0" applyFont="1" applyFill="1" applyAlignment="1">
      <alignment horizontal="center" vertical="center"/>
    </xf>
    <xf numFmtId="0" fontId="7" fillId="4" borderId="1" xfId="0" applyFont="1" applyFill="1" applyBorder="1" applyAlignment="1">
      <alignment horizontal="center" wrapText="1"/>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4" borderId="6" xfId="0" applyFont="1" applyFill="1" applyBorder="1" applyAlignment="1">
      <alignment horizontal="center" vertical="center" wrapText="1"/>
    </xf>
    <xf numFmtId="0" fontId="7" fillId="4" borderId="8"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7" fillId="4" borderId="15" xfId="0" applyFont="1" applyFill="1" applyBorder="1" applyAlignment="1">
      <alignment horizontal="center" vertical="center" wrapText="1"/>
    </xf>
    <xf numFmtId="0" fontId="7" fillId="4" borderId="9" xfId="0" applyFont="1" applyFill="1" applyBorder="1" applyAlignment="1">
      <alignment horizontal="center" vertical="center" wrapText="1"/>
    </xf>
    <xf numFmtId="0" fontId="7" fillId="4" borderId="11" xfId="0" applyFont="1" applyFill="1" applyBorder="1" applyAlignment="1">
      <alignment horizontal="center" vertical="center" wrapText="1"/>
    </xf>
    <xf numFmtId="0" fontId="7" fillId="4" borderId="6" xfId="0" applyFont="1" applyFill="1" applyBorder="1" applyAlignment="1">
      <alignment horizontal="center" vertical="center"/>
    </xf>
    <xf numFmtId="0" fontId="7" fillId="4" borderId="7" xfId="0" applyFont="1" applyFill="1" applyBorder="1" applyAlignment="1">
      <alignment horizontal="center" vertical="center"/>
    </xf>
    <xf numFmtId="0" fontId="7" fillId="4" borderId="8" xfId="0" applyFont="1" applyFill="1" applyBorder="1" applyAlignment="1">
      <alignment horizontal="center" vertical="center"/>
    </xf>
    <xf numFmtId="0" fontId="7" fillId="4" borderId="9" xfId="0" applyFont="1" applyFill="1" applyBorder="1" applyAlignment="1">
      <alignment horizontal="center" vertical="center"/>
    </xf>
    <xf numFmtId="0" fontId="7" fillId="4" borderId="10" xfId="0" applyFont="1" applyFill="1" applyBorder="1" applyAlignment="1">
      <alignment horizontal="center" vertical="center"/>
    </xf>
    <xf numFmtId="0" fontId="7" fillId="4" borderId="11" xfId="0" applyFont="1" applyFill="1" applyBorder="1" applyAlignment="1">
      <alignment horizontal="center" vertical="center"/>
    </xf>
    <xf numFmtId="0" fontId="7" fillId="4" borderId="6" xfId="0" applyFont="1" applyFill="1" applyBorder="1" applyAlignment="1">
      <alignment horizontal="center" wrapText="1"/>
    </xf>
    <xf numFmtId="0" fontId="7" fillId="4" borderId="8" xfId="0" applyFont="1" applyFill="1" applyBorder="1" applyAlignment="1">
      <alignment horizontal="center" wrapText="1"/>
    </xf>
    <xf numFmtId="0" fontId="7" fillId="4" borderId="14" xfId="0" applyFont="1" applyFill="1" applyBorder="1" applyAlignment="1">
      <alignment horizontal="center" wrapText="1"/>
    </xf>
    <xf numFmtId="0" fontId="7" fillId="4" borderId="15" xfId="0" applyFont="1" applyFill="1" applyBorder="1" applyAlignment="1">
      <alignment horizontal="center" wrapText="1"/>
    </xf>
    <xf numFmtId="0" fontId="7" fillId="4" borderId="9" xfId="0" applyFont="1" applyFill="1" applyBorder="1" applyAlignment="1">
      <alignment horizontal="center" wrapText="1"/>
    </xf>
    <xf numFmtId="0" fontId="7" fillId="4" borderId="11" xfId="0" applyFont="1" applyFill="1" applyBorder="1" applyAlignment="1">
      <alignment horizontal="center" wrapText="1"/>
    </xf>
    <xf numFmtId="0" fontId="7" fillId="4" borderId="14" xfId="0" applyFont="1" applyFill="1" applyBorder="1" applyAlignment="1">
      <alignment horizontal="center" vertical="center"/>
    </xf>
    <xf numFmtId="0" fontId="7" fillId="4" borderId="15" xfId="0" applyFont="1" applyFill="1" applyBorder="1" applyAlignment="1">
      <alignment horizontal="center" vertical="center"/>
    </xf>
    <xf numFmtId="0" fontId="0" fillId="12" borderId="1" xfId="0" applyFill="1" applyBorder="1" applyAlignment="1">
      <alignment horizontal="center" vertical="center"/>
    </xf>
    <xf numFmtId="0" fontId="0" fillId="13" borderId="6" xfId="0" applyFill="1" applyBorder="1" applyAlignment="1">
      <alignment horizontal="center" vertical="center"/>
    </xf>
    <xf numFmtId="0" fontId="0" fillId="13" borderId="7" xfId="0" applyFill="1" applyBorder="1" applyAlignment="1">
      <alignment horizontal="center" vertical="center"/>
    </xf>
    <xf numFmtId="0" fontId="0" fillId="13" borderId="8" xfId="0" applyFill="1" applyBorder="1" applyAlignment="1">
      <alignment horizontal="center" vertical="center"/>
    </xf>
    <xf numFmtId="0" fontId="0" fillId="13" borderId="14" xfId="0" applyFill="1" applyBorder="1" applyAlignment="1">
      <alignment horizontal="center" vertical="center"/>
    </xf>
    <xf numFmtId="0" fontId="0" fillId="13" borderId="0" xfId="0" applyFill="1" applyAlignment="1">
      <alignment horizontal="center" vertical="center"/>
    </xf>
    <xf numFmtId="0" fontId="0" fillId="13" borderId="15" xfId="0" applyFill="1" applyBorder="1" applyAlignment="1">
      <alignment horizontal="center" vertical="center"/>
    </xf>
    <xf numFmtId="0" fontId="0" fillId="13" borderId="9" xfId="0" applyFill="1" applyBorder="1" applyAlignment="1">
      <alignment horizontal="center" vertical="center"/>
    </xf>
    <xf numFmtId="0" fontId="0" fillId="13" borderId="10" xfId="0" applyFill="1" applyBorder="1" applyAlignment="1">
      <alignment horizontal="center" vertical="center"/>
    </xf>
    <xf numFmtId="0" fontId="0" fillId="13" borderId="11" xfId="0" applyFill="1" applyBorder="1" applyAlignment="1">
      <alignment horizontal="center" vertical="center"/>
    </xf>
    <xf numFmtId="0" fontId="0" fillId="12" borderId="7" xfId="0" applyFill="1" applyBorder="1" applyAlignment="1">
      <alignment horizontal="center"/>
    </xf>
    <xf numFmtId="0" fontId="0" fillId="12" borderId="10" xfId="0" applyFill="1" applyBorder="1" applyAlignment="1">
      <alignment horizontal="center"/>
    </xf>
    <xf numFmtId="0" fontId="0" fillId="12" borderId="14" xfId="0" applyFill="1" applyBorder="1" applyAlignment="1">
      <alignment horizontal="center"/>
    </xf>
    <xf numFmtId="0" fontId="0" fillId="12" borderId="15" xfId="0" applyFill="1" applyBorder="1" applyAlignment="1">
      <alignment horizontal="center"/>
    </xf>
    <xf numFmtId="0" fontId="0" fillId="12" borderId="1" xfId="0" applyFill="1" applyBorder="1" applyAlignment="1">
      <alignment horizontal="center" vertical="center" wrapText="1"/>
    </xf>
    <xf numFmtId="0" fontId="0" fillId="0" borderId="0" xfId="0" applyAlignment="1"/>
    <xf numFmtId="0" fontId="0" fillId="0" borderId="0" xfId="0" applyAlignment="1">
      <alignment wrapText="1"/>
    </xf>
    <xf numFmtId="0" fontId="3" fillId="4" borderId="10" xfId="0" applyFont="1" applyFill="1" applyBorder="1" applyAlignment="1">
      <alignment horizontal="center" vertical="center"/>
    </xf>
    <xf numFmtId="0" fontId="3" fillId="0" borderId="10" xfId="0" applyFont="1" applyFill="1" applyBorder="1" applyAlignment="1">
      <alignment horizontal="center" vertical="center"/>
    </xf>
    <xf numFmtId="0" fontId="0" fillId="0" borderId="0" xfId="0" applyFill="1"/>
    <xf numFmtId="0" fontId="7" fillId="10" borderId="1" xfId="0" applyFont="1" applyFill="1" applyBorder="1" applyAlignment="1">
      <alignment vertical="center" wrapText="1"/>
    </xf>
    <xf numFmtId="0" fontId="7" fillId="4" borderId="1" xfId="0" applyFont="1" applyFill="1" applyBorder="1" applyAlignment="1">
      <alignment vertical="center"/>
    </xf>
    <xf numFmtId="0" fontId="7" fillId="4" borderId="1" xfId="0" applyFont="1" applyFill="1" applyBorder="1" applyAlignment="1">
      <alignment wrapText="1"/>
    </xf>
    <xf numFmtId="0" fontId="7" fillId="4" borderId="1" xfId="0" applyFont="1" applyFill="1" applyBorder="1" applyAlignment="1">
      <alignment vertical="center" wrapText="1"/>
    </xf>
    <xf numFmtId="0" fontId="0" fillId="0" borderId="1" xfId="0" applyFill="1" applyBorder="1" applyAlignment="1">
      <alignment horizontal="center"/>
    </xf>
    <xf numFmtId="0" fontId="0" fillId="0" borderId="1" xfId="0" applyFill="1" applyBorder="1" applyAlignment="1">
      <alignment wrapText="1"/>
    </xf>
    <xf numFmtId="0" fontId="0" fillId="0" borderId="6" xfId="0" applyFill="1" applyBorder="1" applyAlignment="1">
      <alignment wrapText="1"/>
    </xf>
    <xf numFmtId="0" fontId="0" fillId="0" borderId="1" xfId="0" applyFill="1" applyBorder="1" applyAlignment="1">
      <alignment vertical="center" wrapText="1"/>
    </xf>
    <xf numFmtId="0" fontId="0" fillId="0" borderId="1" xfId="0" applyBorder="1" applyAlignment="1"/>
    <xf numFmtId="0" fontId="0" fillId="13" borderId="6" xfId="0" applyFill="1" applyBorder="1" applyAlignment="1">
      <alignment vertical="center" wrapText="1"/>
    </xf>
    <xf numFmtId="0" fontId="0" fillId="13" borderId="14" xfId="0" applyFill="1" applyBorder="1" applyAlignment="1">
      <alignment vertical="center" wrapText="1"/>
    </xf>
    <xf numFmtId="0" fontId="0" fillId="0" borderId="6" xfId="0" applyFill="1" applyBorder="1" applyAlignment="1"/>
    <xf numFmtId="0" fontId="0" fillId="0" borderId="6" xfId="0" applyFill="1" applyBorder="1" applyAlignment="1">
      <alignment vertical="center"/>
    </xf>
    <xf numFmtId="0" fontId="0" fillId="0" borderId="1" xfId="0" applyFill="1" applyBorder="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G151"/>
  <sheetViews>
    <sheetView topLeftCell="A19" workbookViewId="0">
      <selection activeCell="D22" sqref="D22:M22"/>
    </sheetView>
  </sheetViews>
  <sheetFormatPr defaultRowHeight="14.5" x14ac:dyDescent="0.35"/>
  <cols>
    <col min="1" max="1" width="48.1796875" customWidth="1"/>
    <col min="3" max="3" width="9.26953125" customWidth="1"/>
    <col min="4" max="4" width="0.1796875" hidden="1" customWidth="1"/>
    <col min="6" max="6" width="8.453125" customWidth="1"/>
    <col min="9" max="9" width="22.81640625" customWidth="1"/>
    <col min="10" max="10" width="7" hidden="1" customWidth="1"/>
    <col min="11" max="11" width="9.1796875" hidden="1" customWidth="1"/>
    <col min="12" max="12" width="22.54296875" customWidth="1"/>
    <col min="13" max="13" width="9.26953125" customWidth="1"/>
    <col min="14" max="14" width="22.81640625" customWidth="1"/>
    <col min="15" max="15" width="18" customWidth="1"/>
    <col min="16" max="16" width="17" customWidth="1"/>
    <col min="17" max="17" width="9.1796875" customWidth="1"/>
    <col min="18" max="18" width="9.26953125" customWidth="1"/>
    <col min="19" max="19" width="18.453125" customWidth="1"/>
    <col min="20" max="20" width="22.1796875" customWidth="1"/>
    <col min="21" max="21" width="20.7265625" customWidth="1"/>
    <col min="23" max="23" width="8.26953125" customWidth="1"/>
    <col min="24" max="24" width="1.81640625" hidden="1" customWidth="1"/>
    <col min="26" max="26" width="10.26953125" customWidth="1"/>
    <col min="27" max="27" width="4.54296875" customWidth="1"/>
    <col min="29" max="29" width="7.7265625" customWidth="1"/>
    <col min="30" max="30" width="9.1796875" hidden="1" customWidth="1"/>
    <col min="33" max="33" width="4.1796875" customWidth="1"/>
  </cols>
  <sheetData>
    <row r="1" spans="1:33" ht="47.5" customHeight="1" x14ac:dyDescent="0.35">
      <c r="A1" s="1"/>
      <c r="B1" s="58" t="s">
        <v>0</v>
      </c>
      <c r="C1" s="58"/>
      <c r="D1" s="58"/>
      <c r="E1" s="58"/>
      <c r="F1" s="58"/>
      <c r="G1" s="58"/>
      <c r="H1" s="58"/>
      <c r="I1" s="58"/>
      <c r="J1" s="58"/>
      <c r="K1" s="58"/>
      <c r="L1" s="58"/>
      <c r="M1" s="58"/>
      <c r="N1" s="58"/>
      <c r="O1" s="58"/>
      <c r="P1" s="1"/>
      <c r="Q1" s="2"/>
      <c r="R1" s="2"/>
      <c r="S1" s="2"/>
      <c r="T1" s="2"/>
      <c r="U1" s="2"/>
      <c r="V1" s="2"/>
      <c r="W1" s="2"/>
      <c r="X1" s="3"/>
      <c r="Y1" s="3"/>
      <c r="Z1" s="3"/>
      <c r="AA1" s="3"/>
      <c r="AB1" s="3"/>
      <c r="AC1" s="3"/>
      <c r="AD1" s="3"/>
      <c r="AE1" s="3"/>
      <c r="AF1" s="3"/>
      <c r="AG1" s="3"/>
    </row>
    <row r="2" spans="1:33" x14ac:dyDescent="0.35">
      <c r="A2" s="59" t="s">
        <v>1</v>
      </c>
      <c r="B2" s="59"/>
      <c r="C2" s="59"/>
      <c r="D2" s="59"/>
      <c r="E2" s="59"/>
      <c r="F2" s="59"/>
      <c r="G2" s="59"/>
      <c r="H2" s="59"/>
      <c r="I2" s="59"/>
      <c r="J2" s="59"/>
      <c r="K2" s="59"/>
      <c r="L2" s="59"/>
      <c r="M2" s="59"/>
      <c r="N2" s="59"/>
      <c r="O2" s="59"/>
      <c r="P2" s="59"/>
      <c r="Q2" s="60"/>
      <c r="R2" s="60"/>
      <c r="S2" s="60"/>
      <c r="T2" s="60"/>
      <c r="U2" s="60"/>
      <c r="V2" s="60"/>
      <c r="W2" s="60"/>
    </row>
    <row r="3" spans="1:33" ht="52.15" customHeight="1" x14ac:dyDescent="0.35">
      <c r="A3" s="4" t="s">
        <v>2</v>
      </c>
      <c r="B3" s="61" t="s">
        <v>3</v>
      </c>
      <c r="C3" s="62"/>
      <c r="D3" s="62"/>
      <c r="E3" s="62"/>
      <c r="F3" s="62"/>
      <c r="G3" s="62"/>
      <c r="H3" s="62"/>
      <c r="I3" s="62"/>
      <c r="J3" s="62"/>
      <c r="K3" s="62"/>
      <c r="L3" s="62"/>
      <c r="M3" s="63"/>
      <c r="N3" s="64" t="s">
        <v>4</v>
      </c>
      <c r="O3" s="64"/>
      <c r="P3" s="64"/>
      <c r="Q3" s="6"/>
      <c r="R3" s="6"/>
      <c r="S3" s="6"/>
      <c r="T3" s="6"/>
      <c r="U3" s="6"/>
      <c r="V3" s="6"/>
      <c r="W3" s="6"/>
    </row>
    <row r="4" spans="1:33" ht="30" customHeight="1" x14ac:dyDescent="0.35">
      <c r="A4" s="65" t="s">
        <v>5</v>
      </c>
      <c r="B4" s="66" t="s">
        <v>6</v>
      </c>
      <c r="C4" s="66"/>
      <c r="D4" s="66"/>
      <c r="E4" s="65" t="s">
        <v>7</v>
      </c>
      <c r="F4" s="65"/>
      <c r="G4" s="65"/>
      <c r="H4" s="65"/>
      <c r="I4" s="65"/>
      <c r="J4" s="65"/>
      <c r="K4" s="65"/>
      <c r="L4" s="65"/>
      <c r="M4" s="65"/>
      <c r="N4" s="67">
        <v>2025</v>
      </c>
      <c r="O4" s="67"/>
      <c r="P4" s="67"/>
      <c r="Q4" s="7"/>
      <c r="R4" s="7"/>
      <c r="S4" s="7"/>
      <c r="T4" s="7"/>
      <c r="U4" s="7"/>
      <c r="V4" s="7"/>
      <c r="W4" s="7"/>
    </row>
    <row r="5" spans="1:33" ht="19.5" customHeight="1" x14ac:dyDescent="0.35">
      <c r="A5" s="65"/>
      <c r="B5" s="66" t="s">
        <v>8</v>
      </c>
      <c r="C5" s="66"/>
      <c r="D5" s="66"/>
      <c r="E5" s="67" t="s">
        <v>7</v>
      </c>
      <c r="F5" s="67"/>
      <c r="G5" s="67"/>
      <c r="H5" s="67"/>
      <c r="I5" s="67"/>
      <c r="J5" s="67"/>
      <c r="K5" s="67"/>
      <c r="L5" s="67"/>
      <c r="M5" s="67"/>
      <c r="N5" s="65" t="s">
        <v>9</v>
      </c>
      <c r="O5" s="65"/>
      <c r="P5" s="65"/>
      <c r="Q5" s="8"/>
      <c r="R5" s="8"/>
      <c r="S5" s="8"/>
      <c r="T5" s="8"/>
      <c r="U5" s="8"/>
      <c r="V5" s="8"/>
      <c r="W5" s="8"/>
    </row>
    <row r="6" spans="1:33" ht="24.75" customHeight="1" x14ac:dyDescent="0.35">
      <c r="A6" s="65"/>
      <c r="B6" s="66" t="s">
        <v>10</v>
      </c>
      <c r="C6" s="66"/>
      <c r="D6" s="66"/>
      <c r="E6" s="67" t="s">
        <v>7</v>
      </c>
      <c r="F6" s="67"/>
      <c r="G6" s="67"/>
      <c r="H6" s="67"/>
      <c r="I6" s="67"/>
      <c r="J6" s="67"/>
      <c r="K6" s="67"/>
      <c r="L6" s="67"/>
      <c r="M6" s="67"/>
      <c r="N6" s="65"/>
      <c r="O6" s="65"/>
      <c r="P6" s="65"/>
      <c r="Q6" s="8"/>
      <c r="R6" s="8"/>
      <c r="S6" s="8"/>
      <c r="T6" s="8"/>
      <c r="U6" s="8"/>
      <c r="V6" s="8"/>
      <c r="W6" s="8"/>
    </row>
    <row r="7" spans="1:33" ht="27" customHeight="1" x14ac:dyDescent="0.35">
      <c r="A7" s="65"/>
      <c r="B7" s="66" t="s">
        <v>11</v>
      </c>
      <c r="C7" s="66"/>
      <c r="D7" s="66"/>
      <c r="E7" s="67" t="s">
        <v>7</v>
      </c>
      <c r="F7" s="67"/>
      <c r="G7" s="67"/>
      <c r="H7" s="67"/>
      <c r="I7" s="67"/>
      <c r="J7" s="67"/>
      <c r="K7" s="67"/>
      <c r="L7" s="67"/>
      <c r="M7" s="67"/>
      <c r="N7" s="65"/>
      <c r="O7" s="65"/>
      <c r="P7" s="65"/>
      <c r="Q7" s="8"/>
      <c r="R7" s="8"/>
      <c r="S7" s="8"/>
      <c r="T7" s="8"/>
      <c r="U7" s="8"/>
      <c r="V7" s="8"/>
      <c r="W7" s="8"/>
      <c r="Y7" s="3"/>
      <c r="Z7" s="3"/>
      <c r="AA7" s="3"/>
      <c r="AB7" s="3"/>
      <c r="AC7" s="3"/>
      <c r="AD7" s="3"/>
      <c r="AE7" s="3"/>
      <c r="AF7" s="3"/>
      <c r="AG7" s="3"/>
    </row>
    <row r="8" spans="1:33" ht="24.75" customHeight="1" x14ac:dyDescent="0.35">
      <c r="A8" s="5" t="s">
        <v>12</v>
      </c>
      <c r="B8" s="66" t="s">
        <v>13</v>
      </c>
      <c r="C8" s="66"/>
      <c r="D8" s="66"/>
      <c r="E8" s="68" t="s">
        <v>14</v>
      </c>
      <c r="F8" s="68"/>
      <c r="G8" s="68"/>
      <c r="H8" s="68"/>
      <c r="I8" s="68"/>
      <c r="J8" s="68"/>
      <c r="K8" s="68"/>
      <c r="L8" s="68"/>
      <c r="M8" s="68"/>
      <c r="N8" s="64" t="s">
        <v>15</v>
      </c>
      <c r="O8" s="64"/>
      <c r="P8" s="64"/>
      <c r="Q8" s="6"/>
      <c r="R8" s="6"/>
      <c r="S8" s="6"/>
      <c r="T8" s="6"/>
      <c r="U8" s="6"/>
      <c r="V8" s="6"/>
      <c r="W8" s="6"/>
      <c r="Y8" s="3"/>
      <c r="Z8" s="3"/>
      <c r="AA8" s="3"/>
      <c r="AB8" s="3"/>
      <c r="AC8" s="3"/>
      <c r="AD8" s="3"/>
      <c r="AE8" s="3"/>
      <c r="AF8" s="3"/>
      <c r="AG8" s="3"/>
    </row>
    <row r="9" spans="1:33" ht="30.75" customHeight="1" x14ac:dyDescent="0.35">
      <c r="A9" s="9" t="str">
        <f>E8</f>
        <v>................</v>
      </c>
      <c r="B9" s="69" t="s">
        <v>16</v>
      </c>
      <c r="C9" s="69"/>
      <c r="D9" s="69"/>
      <c r="E9" s="70" t="s">
        <v>7</v>
      </c>
      <c r="F9" s="70"/>
      <c r="G9" s="70"/>
      <c r="H9" s="70"/>
      <c r="I9" s="70"/>
      <c r="J9" s="70"/>
      <c r="K9" s="70"/>
      <c r="L9" s="70"/>
      <c r="M9" s="70"/>
      <c r="N9" s="71" t="s">
        <v>17</v>
      </c>
      <c r="O9" s="72"/>
      <c r="P9" s="73"/>
      <c r="Q9" s="10"/>
      <c r="R9" s="10"/>
      <c r="S9" s="10"/>
      <c r="T9" s="10"/>
      <c r="U9" s="10"/>
      <c r="V9" s="10"/>
      <c r="W9" s="10"/>
      <c r="Y9" s="3"/>
      <c r="Z9" s="3"/>
      <c r="AA9" s="3"/>
      <c r="AB9" s="3"/>
      <c r="AC9" s="3"/>
      <c r="AD9" s="3"/>
      <c r="AE9" s="3"/>
      <c r="AF9" s="3"/>
      <c r="AG9" s="3"/>
    </row>
    <row r="10" spans="1:33" ht="41.25" customHeight="1" x14ac:dyDescent="0.35">
      <c r="A10" s="74" t="s">
        <v>18</v>
      </c>
      <c r="B10" s="75" t="s">
        <v>19</v>
      </c>
      <c r="C10" s="75"/>
      <c r="D10" s="75"/>
      <c r="E10" s="75"/>
      <c r="F10" s="75"/>
      <c r="G10" s="75"/>
      <c r="H10" s="75"/>
      <c r="I10" s="75"/>
      <c r="J10" s="12"/>
      <c r="K10" s="12"/>
      <c r="L10" s="75" t="s">
        <v>20</v>
      </c>
      <c r="M10" s="75"/>
      <c r="N10" s="75"/>
      <c r="O10" s="75"/>
      <c r="P10" s="75"/>
      <c r="Q10" s="75"/>
      <c r="R10" s="75"/>
      <c r="S10" s="75"/>
      <c r="T10" s="75"/>
      <c r="U10" s="75"/>
      <c r="V10" s="76" t="s">
        <v>21</v>
      </c>
      <c r="W10" s="76"/>
      <c r="X10" s="76"/>
      <c r="Y10" s="76"/>
      <c r="Z10" s="76"/>
      <c r="AA10" s="76"/>
      <c r="AB10" s="76"/>
      <c r="AC10" s="76"/>
      <c r="AD10" s="76"/>
      <c r="AE10" s="76"/>
      <c r="AF10" s="76"/>
      <c r="AG10" s="76"/>
    </row>
    <row r="11" spans="1:33" ht="71.25" customHeight="1" x14ac:dyDescent="0.35">
      <c r="A11" s="74"/>
      <c r="B11" s="77" t="s">
        <v>22</v>
      </c>
      <c r="C11" s="77"/>
      <c r="D11" s="77"/>
      <c r="E11" s="77"/>
      <c r="F11" s="77"/>
      <c r="G11" s="77" t="s">
        <v>23</v>
      </c>
      <c r="H11" s="77"/>
      <c r="I11" s="77"/>
      <c r="J11" s="77"/>
      <c r="K11" s="77"/>
      <c r="L11" s="77" t="s">
        <v>22</v>
      </c>
      <c r="M11" s="77"/>
      <c r="N11" s="77"/>
      <c r="O11" s="77"/>
      <c r="P11" s="77"/>
      <c r="Q11" s="77" t="s">
        <v>24</v>
      </c>
      <c r="R11" s="77"/>
      <c r="S11" s="77"/>
      <c r="T11" s="77"/>
      <c r="U11" s="77"/>
      <c r="V11" s="76"/>
      <c r="W11" s="76"/>
      <c r="X11" s="76"/>
      <c r="Y11" s="76"/>
      <c r="Z11" s="76"/>
      <c r="AA11" s="76"/>
      <c r="AB11" s="76"/>
      <c r="AC11" s="76"/>
      <c r="AD11" s="76"/>
      <c r="AE11" s="76"/>
      <c r="AF11" s="76"/>
      <c r="AG11" s="76"/>
    </row>
    <row r="12" spans="1:33" ht="70.5" customHeight="1" x14ac:dyDescent="0.35">
      <c r="A12" s="74"/>
      <c r="B12" s="77"/>
      <c r="C12" s="77"/>
      <c r="D12" s="77"/>
      <c r="E12" s="77"/>
      <c r="F12" s="77"/>
      <c r="G12" s="77"/>
      <c r="H12" s="77"/>
      <c r="I12" s="77"/>
      <c r="J12" s="77"/>
      <c r="K12" s="77"/>
      <c r="L12" s="78" t="s">
        <v>25</v>
      </c>
      <c r="M12" s="78"/>
      <c r="N12" s="78"/>
      <c r="O12" s="78" t="s">
        <v>26</v>
      </c>
      <c r="P12" s="78"/>
      <c r="Q12" s="78" t="s">
        <v>25</v>
      </c>
      <c r="R12" s="78"/>
      <c r="S12" s="78"/>
      <c r="T12" s="78" t="s">
        <v>26</v>
      </c>
      <c r="U12" s="78"/>
      <c r="V12" s="79" t="s">
        <v>27</v>
      </c>
      <c r="W12" s="79"/>
      <c r="X12" s="79"/>
      <c r="Y12" s="79" t="s">
        <v>28</v>
      </c>
      <c r="Z12" s="79"/>
      <c r="AA12" s="79"/>
      <c r="AB12" s="79" t="s">
        <v>29</v>
      </c>
      <c r="AC12" s="79"/>
      <c r="AD12" s="79"/>
      <c r="AE12" s="79" t="s">
        <v>30</v>
      </c>
      <c r="AF12" s="79"/>
      <c r="AG12" s="79"/>
    </row>
    <row r="13" spans="1:33" ht="24.5" x14ac:dyDescent="0.35">
      <c r="A13" s="13" t="s">
        <v>31</v>
      </c>
      <c r="B13" s="80" t="s">
        <v>32</v>
      </c>
      <c r="C13" s="80"/>
      <c r="D13" s="80"/>
      <c r="E13" s="80" t="s">
        <v>33</v>
      </c>
      <c r="F13" s="80"/>
      <c r="G13" s="80" t="s">
        <v>34</v>
      </c>
      <c r="H13" s="80"/>
      <c r="I13" s="14" t="s">
        <v>35</v>
      </c>
      <c r="J13" s="80" t="s">
        <v>33</v>
      </c>
      <c r="K13" s="80"/>
      <c r="L13" s="80" t="s">
        <v>34</v>
      </c>
      <c r="M13" s="80"/>
      <c r="N13" s="14" t="s">
        <v>33</v>
      </c>
      <c r="O13" s="14" t="s">
        <v>34</v>
      </c>
      <c r="P13" s="14" t="s">
        <v>33</v>
      </c>
      <c r="Q13" s="80" t="s">
        <v>34</v>
      </c>
      <c r="R13" s="80"/>
      <c r="S13" s="14" t="s">
        <v>33</v>
      </c>
      <c r="T13" s="14" t="s">
        <v>34</v>
      </c>
      <c r="U13" s="14" t="s">
        <v>33</v>
      </c>
      <c r="V13" s="81" t="s">
        <v>36</v>
      </c>
      <c r="W13" s="81"/>
      <c r="X13" s="81"/>
      <c r="Y13" s="81" t="s">
        <v>37</v>
      </c>
      <c r="Z13" s="81"/>
      <c r="AA13" s="81"/>
      <c r="AB13" s="80" t="s">
        <v>38</v>
      </c>
      <c r="AC13" s="80"/>
      <c r="AD13" s="80"/>
      <c r="AE13" s="81" t="s">
        <v>39</v>
      </c>
      <c r="AF13" s="81"/>
      <c r="AG13" s="81"/>
    </row>
    <row r="14" spans="1:33" x14ac:dyDescent="0.35">
      <c r="A14" s="15" t="s">
        <v>40</v>
      </c>
      <c r="B14" s="82">
        <v>0</v>
      </c>
      <c r="C14" s="82"/>
      <c r="D14" s="17">
        <v>0</v>
      </c>
      <c r="E14" s="83">
        <v>0</v>
      </c>
      <c r="F14" s="83"/>
      <c r="G14" s="82">
        <v>0</v>
      </c>
      <c r="H14" s="82"/>
      <c r="I14" s="17">
        <v>0</v>
      </c>
      <c r="J14" s="17">
        <v>0</v>
      </c>
      <c r="K14" s="17">
        <v>0</v>
      </c>
      <c r="L14" s="82">
        <v>0</v>
      </c>
      <c r="M14" s="82"/>
      <c r="N14" s="17">
        <v>0</v>
      </c>
      <c r="O14" s="16">
        <v>0</v>
      </c>
      <c r="P14" s="17">
        <v>0</v>
      </c>
      <c r="Q14" s="82">
        <v>0</v>
      </c>
      <c r="R14" s="82"/>
      <c r="S14" s="17">
        <v>0</v>
      </c>
      <c r="T14" s="16">
        <v>0</v>
      </c>
      <c r="U14" s="17">
        <v>0</v>
      </c>
      <c r="V14" s="84">
        <v>18.5</v>
      </c>
      <c r="W14" s="84"/>
      <c r="X14" s="84"/>
      <c r="Y14" s="85">
        <f t="shared" ref="Y14:Y76" si="0">(B14+G14+L14+Q14)*(V14/1000)</f>
        <v>0</v>
      </c>
      <c r="Z14" s="85"/>
      <c r="AA14" s="85"/>
      <c r="AB14" s="86">
        <v>4.0000000000000002E-4</v>
      </c>
      <c r="AC14" s="86"/>
      <c r="AD14" s="86"/>
      <c r="AE14" s="85">
        <f t="shared" ref="AE14:AE20" si="1">(E14+I14+N14+S14)*AB14</f>
        <v>0</v>
      </c>
      <c r="AF14" s="85"/>
      <c r="AG14" s="85"/>
    </row>
    <row r="15" spans="1:33" x14ac:dyDescent="0.35">
      <c r="A15" s="15" t="s">
        <v>41</v>
      </c>
      <c r="B15" s="82">
        <v>0</v>
      </c>
      <c r="C15" s="82"/>
      <c r="D15" s="17">
        <v>0</v>
      </c>
      <c r="E15" s="83">
        <v>0</v>
      </c>
      <c r="F15" s="83"/>
      <c r="G15" s="82">
        <v>0</v>
      </c>
      <c r="H15" s="82"/>
      <c r="I15" s="17">
        <v>0</v>
      </c>
      <c r="J15" s="17">
        <v>0</v>
      </c>
      <c r="K15" s="17">
        <v>0</v>
      </c>
      <c r="L15" s="82">
        <v>0</v>
      </c>
      <c r="M15" s="82"/>
      <c r="N15" s="17">
        <v>0</v>
      </c>
      <c r="O15" s="16">
        <v>0</v>
      </c>
      <c r="P15" s="17">
        <v>0</v>
      </c>
      <c r="Q15" s="82">
        <v>0</v>
      </c>
      <c r="R15" s="82"/>
      <c r="S15" s="17">
        <v>0</v>
      </c>
      <c r="T15" s="16">
        <v>0</v>
      </c>
      <c r="U15" s="17">
        <v>0</v>
      </c>
      <c r="V15" s="84">
        <v>10.5</v>
      </c>
      <c r="W15" s="84"/>
      <c r="X15" s="84"/>
      <c r="Y15" s="85">
        <f t="shared" si="0"/>
        <v>0</v>
      </c>
      <c r="Z15" s="85"/>
      <c r="AA15" s="85"/>
      <c r="AB15" s="86">
        <v>4.0000000000000002E-4</v>
      </c>
      <c r="AC15" s="86"/>
      <c r="AD15" s="86"/>
      <c r="AE15" s="85">
        <f t="shared" si="1"/>
        <v>0</v>
      </c>
      <c r="AF15" s="85"/>
      <c r="AG15" s="85"/>
    </row>
    <row r="16" spans="1:33" x14ac:dyDescent="0.35">
      <c r="A16" s="15" t="s">
        <v>42</v>
      </c>
      <c r="B16" s="82">
        <v>0</v>
      </c>
      <c r="C16" s="82"/>
      <c r="D16" s="17">
        <v>0</v>
      </c>
      <c r="E16" s="83">
        <v>0</v>
      </c>
      <c r="F16" s="83"/>
      <c r="G16" s="82">
        <v>0</v>
      </c>
      <c r="H16" s="82"/>
      <c r="I16" s="17">
        <v>0</v>
      </c>
      <c r="J16" s="17">
        <v>0</v>
      </c>
      <c r="K16" s="17">
        <v>0</v>
      </c>
      <c r="L16" s="82">
        <v>0</v>
      </c>
      <c r="M16" s="82"/>
      <c r="N16" s="17">
        <v>0</v>
      </c>
      <c r="O16" s="16">
        <v>0</v>
      </c>
      <c r="P16" s="17">
        <v>0</v>
      </c>
      <c r="Q16" s="82">
        <v>0</v>
      </c>
      <c r="R16" s="82"/>
      <c r="S16" s="17">
        <v>0</v>
      </c>
      <c r="T16" s="16">
        <v>0</v>
      </c>
      <c r="U16" s="17">
        <v>0</v>
      </c>
      <c r="V16" s="84">
        <v>10.1</v>
      </c>
      <c r="W16" s="84"/>
      <c r="X16" s="84"/>
      <c r="Y16" s="85">
        <f t="shared" si="0"/>
        <v>0</v>
      </c>
      <c r="Z16" s="85"/>
      <c r="AA16" s="85"/>
      <c r="AB16" s="86">
        <v>4.0000000000000002E-4</v>
      </c>
      <c r="AC16" s="86"/>
      <c r="AD16" s="86"/>
      <c r="AE16" s="85">
        <f t="shared" si="1"/>
        <v>0</v>
      </c>
      <c r="AF16" s="85"/>
      <c r="AG16" s="85"/>
    </row>
    <row r="17" spans="1:33" x14ac:dyDescent="0.35">
      <c r="A17" s="15" t="s">
        <v>43</v>
      </c>
      <c r="B17" s="82">
        <v>0</v>
      </c>
      <c r="C17" s="82"/>
      <c r="D17" s="17">
        <v>0</v>
      </c>
      <c r="E17" s="83">
        <v>0</v>
      </c>
      <c r="F17" s="83"/>
      <c r="G17" s="82">
        <v>0</v>
      </c>
      <c r="H17" s="82"/>
      <c r="I17" s="17">
        <v>0</v>
      </c>
      <c r="J17" s="17">
        <v>0</v>
      </c>
      <c r="K17" s="17">
        <v>0</v>
      </c>
      <c r="L17" s="82">
        <v>0</v>
      </c>
      <c r="M17" s="82"/>
      <c r="N17" s="17">
        <v>0</v>
      </c>
      <c r="O17" s="16">
        <v>0</v>
      </c>
      <c r="P17" s="17">
        <v>0</v>
      </c>
      <c r="Q17" s="82">
        <v>0</v>
      </c>
      <c r="R17" s="82"/>
      <c r="S17" s="17">
        <v>0</v>
      </c>
      <c r="T17" s="16">
        <v>0</v>
      </c>
      <c r="U17" s="17">
        <v>0</v>
      </c>
      <c r="V17" s="84">
        <v>55.5</v>
      </c>
      <c r="W17" s="84"/>
      <c r="X17" s="84"/>
      <c r="Y17" s="85">
        <f t="shared" si="0"/>
        <v>0</v>
      </c>
      <c r="Z17" s="85"/>
      <c r="AA17" s="85"/>
      <c r="AB17" s="86">
        <v>4.0000000000000002E-4</v>
      </c>
      <c r="AC17" s="86"/>
      <c r="AD17" s="86"/>
      <c r="AE17" s="85">
        <f t="shared" si="1"/>
        <v>0</v>
      </c>
      <c r="AF17" s="85"/>
      <c r="AG17" s="85"/>
    </row>
    <row r="18" spans="1:33" x14ac:dyDescent="0.35">
      <c r="A18" s="15" t="s">
        <v>44</v>
      </c>
      <c r="B18" s="82">
        <v>0</v>
      </c>
      <c r="C18" s="82"/>
      <c r="D18" s="17">
        <v>0</v>
      </c>
      <c r="E18" s="83">
        <v>0</v>
      </c>
      <c r="F18" s="83"/>
      <c r="G18" s="82">
        <v>0</v>
      </c>
      <c r="H18" s="82"/>
      <c r="I18" s="17">
        <v>0</v>
      </c>
      <c r="J18" s="17">
        <v>0</v>
      </c>
      <c r="K18" s="17">
        <v>0</v>
      </c>
      <c r="L18" s="82">
        <v>0</v>
      </c>
      <c r="M18" s="82"/>
      <c r="N18" s="17">
        <v>0</v>
      </c>
      <c r="O18" s="16">
        <v>0</v>
      </c>
      <c r="P18" s="17">
        <v>0</v>
      </c>
      <c r="Q18" s="82">
        <v>0</v>
      </c>
      <c r="R18" s="82"/>
      <c r="S18" s="17">
        <v>0</v>
      </c>
      <c r="T18" s="16">
        <v>0</v>
      </c>
      <c r="U18" s="17">
        <v>0</v>
      </c>
      <c r="V18" s="84">
        <v>55.5</v>
      </c>
      <c r="W18" s="84"/>
      <c r="X18" s="84"/>
      <c r="Y18" s="85">
        <f t="shared" si="0"/>
        <v>0</v>
      </c>
      <c r="Z18" s="85"/>
      <c r="AA18" s="85"/>
      <c r="AB18" s="86">
        <v>4.0000000000000002E-4</v>
      </c>
      <c r="AC18" s="86"/>
      <c r="AD18" s="86"/>
      <c r="AE18" s="85">
        <f t="shared" si="1"/>
        <v>0</v>
      </c>
      <c r="AF18" s="85"/>
      <c r="AG18" s="85"/>
    </row>
    <row r="19" spans="1:33" x14ac:dyDescent="0.35">
      <c r="A19" s="15" t="s">
        <v>45</v>
      </c>
      <c r="B19" s="82">
        <v>0</v>
      </c>
      <c r="C19" s="82"/>
      <c r="D19" s="17">
        <v>0</v>
      </c>
      <c r="E19" s="83">
        <v>0</v>
      </c>
      <c r="F19" s="83"/>
      <c r="G19" s="82">
        <v>0</v>
      </c>
      <c r="H19" s="82"/>
      <c r="I19" s="17">
        <v>0</v>
      </c>
      <c r="J19" s="17">
        <v>0</v>
      </c>
      <c r="K19" s="17">
        <v>0</v>
      </c>
      <c r="L19" s="82">
        <v>0</v>
      </c>
      <c r="M19" s="82"/>
      <c r="N19" s="17">
        <v>0</v>
      </c>
      <c r="O19" s="16">
        <v>0</v>
      </c>
      <c r="P19" s="17">
        <v>0</v>
      </c>
      <c r="Q19" s="82">
        <v>0</v>
      </c>
      <c r="R19" s="82"/>
      <c r="S19" s="17">
        <v>0</v>
      </c>
      <c r="T19" s="16">
        <v>0</v>
      </c>
      <c r="U19" s="17">
        <v>0</v>
      </c>
      <c r="V19" s="84">
        <v>21</v>
      </c>
      <c r="W19" s="84"/>
      <c r="X19" s="84"/>
      <c r="Y19" s="85">
        <f t="shared" si="0"/>
        <v>0</v>
      </c>
      <c r="Z19" s="85"/>
      <c r="AA19" s="85"/>
      <c r="AB19" s="86">
        <v>4.0000000000000002E-4</v>
      </c>
      <c r="AC19" s="86"/>
      <c r="AD19" s="86"/>
      <c r="AE19" s="85">
        <f t="shared" si="1"/>
        <v>0</v>
      </c>
      <c r="AF19" s="85"/>
      <c r="AG19" s="85"/>
    </row>
    <row r="20" spans="1:33" x14ac:dyDescent="0.35">
      <c r="A20" s="15" t="s">
        <v>46</v>
      </c>
      <c r="B20" s="82">
        <v>0</v>
      </c>
      <c r="C20" s="82"/>
      <c r="D20" s="17">
        <v>0</v>
      </c>
      <c r="E20" s="83">
        <v>0</v>
      </c>
      <c r="F20" s="83"/>
      <c r="G20" s="82">
        <v>0</v>
      </c>
      <c r="H20" s="82"/>
      <c r="I20" s="17">
        <v>0</v>
      </c>
      <c r="J20" s="17">
        <v>0</v>
      </c>
      <c r="K20" s="17">
        <v>0</v>
      </c>
      <c r="L20" s="82">
        <v>0</v>
      </c>
      <c r="M20" s="82"/>
      <c r="N20" s="17">
        <v>0</v>
      </c>
      <c r="O20" s="16">
        <v>0</v>
      </c>
      <c r="P20" s="17">
        <v>0</v>
      </c>
      <c r="Q20" s="82">
        <v>0</v>
      </c>
      <c r="R20" s="82"/>
      <c r="S20" s="17">
        <v>0</v>
      </c>
      <c r="T20" s="16">
        <v>0</v>
      </c>
      <c r="U20" s="17">
        <v>0</v>
      </c>
      <c r="V20" s="84">
        <v>70.5</v>
      </c>
      <c r="W20" s="84"/>
      <c r="X20" s="84"/>
      <c r="Y20" s="85">
        <f t="shared" si="0"/>
        <v>0</v>
      </c>
      <c r="Z20" s="85"/>
      <c r="AA20" s="85"/>
      <c r="AB20" s="86">
        <v>4.0000000000000002E-4</v>
      </c>
      <c r="AC20" s="86"/>
      <c r="AD20" s="86"/>
      <c r="AE20" s="85">
        <f t="shared" si="1"/>
        <v>0</v>
      </c>
      <c r="AF20" s="85"/>
      <c r="AG20" s="85"/>
    </row>
    <row r="21" spans="1:33" ht="63.75" customHeight="1" x14ac:dyDescent="0.35">
      <c r="A21" s="18" t="s">
        <v>47</v>
      </c>
      <c r="B21" s="87" t="s">
        <v>48</v>
      </c>
      <c r="C21" s="87"/>
      <c r="D21" s="87"/>
      <c r="E21" s="87"/>
      <c r="F21" s="87"/>
      <c r="G21" s="87"/>
      <c r="H21" s="87"/>
      <c r="I21" s="87"/>
      <c r="J21" s="19"/>
      <c r="K21" s="19"/>
      <c r="L21" s="88" t="s">
        <v>49</v>
      </c>
      <c r="M21" s="88"/>
      <c r="N21" s="20" t="s">
        <v>50</v>
      </c>
      <c r="O21" s="87" t="s">
        <v>51</v>
      </c>
      <c r="P21" s="87"/>
      <c r="Q21" s="87"/>
      <c r="R21" s="87"/>
      <c r="S21" s="87"/>
      <c r="T21" s="21" t="s">
        <v>49</v>
      </c>
      <c r="U21" s="20" t="s">
        <v>50</v>
      </c>
      <c r="V21" s="89"/>
      <c r="W21" s="89"/>
      <c r="X21" s="22"/>
      <c r="Y21" s="22"/>
      <c r="Z21" s="22"/>
      <c r="AA21" s="22"/>
      <c r="AB21" s="22"/>
      <c r="AC21" s="22"/>
      <c r="AD21" s="22"/>
      <c r="AE21" s="22"/>
      <c r="AF21" s="22"/>
      <c r="AG21" s="22"/>
    </row>
    <row r="22" spans="1:33" ht="26.25" customHeight="1" x14ac:dyDescent="0.35">
      <c r="A22" s="23" t="s">
        <v>52</v>
      </c>
      <c r="B22" s="90">
        <v>0</v>
      </c>
      <c r="C22" s="90"/>
      <c r="D22" s="91">
        <v>0</v>
      </c>
      <c r="E22" s="91"/>
      <c r="F22" s="91"/>
      <c r="G22" s="90">
        <v>0</v>
      </c>
      <c r="H22" s="90"/>
      <c r="I22" s="91">
        <v>0</v>
      </c>
      <c r="J22" s="91"/>
      <c r="K22" s="91"/>
      <c r="L22" s="90">
        <v>0</v>
      </c>
      <c r="M22" s="90"/>
      <c r="N22" s="25">
        <v>0</v>
      </c>
      <c r="O22" s="24">
        <v>0</v>
      </c>
      <c r="P22" s="25">
        <v>0</v>
      </c>
      <c r="Q22" s="90">
        <v>0</v>
      </c>
      <c r="R22" s="90"/>
      <c r="S22" s="25">
        <v>0</v>
      </c>
      <c r="T22" s="24">
        <v>0</v>
      </c>
      <c r="U22" s="25">
        <v>0</v>
      </c>
      <c r="V22" s="84">
        <v>70.5</v>
      </c>
      <c r="W22" s="84"/>
      <c r="X22" s="84"/>
      <c r="Y22" s="85">
        <f t="shared" si="0"/>
        <v>0</v>
      </c>
      <c r="Z22" s="85"/>
      <c r="AA22" s="85"/>
      <c r="AB22" s="86">
        <v>4.0000000000000002E-4</v>
      </c>
      <c r="AC22" s="86"/>
      <c r="AD22" s="86"/>
      <c r="AE22" s="85">
        <f t="shared" ref="AE22:AE76" si="2">(D22+I22+N22+S22)*AB22</f>
        <v>0</v>
      </c>
      <c r="AF22" s="85"/>
      <c r="AG22" s="85"/>
    </row>
    <row r="23" spans="1:33" ht="36.75" customHeight="1" x14ac:dyDescent="0.35">
      <c r="A23" s="23" t="s">
        <v>53</v>
      </c>
      <c r="B23" s="90">
        <v>0</v>
      </c>
      <c r="C23" s="90"/>
      <c r="D23" s="91">
        <v>0</v>
      </c>
      <c r="E23" s="91"/>
      <c r="F23" s="91"/>
      <c r="G23" s="90">
        <v>0</v>
      </c>
      <c r="H23" s="90"/>
      <c r="I23" s="91">
        <v>0</v>
      </c>
      <c r="J23" s="91"/>
      <c r="K23" s="91"/>
      <c r="L23" s="90">
        <v>0</v>
      </c>
      <c r="M23" s="90"/>
      <c r="N23" s="25">
        <v>0</v>
      </c>
      <c r="O23" s="24">
        <v>0</v>
      </c>
      <c r="P23" s="25">
        <v>0</v>
      </c>
      <c r="Q23" s="90">
        <v>0</v>
      </c>
      <c r="R23" s="90"/>
      <c r="S23" s="25">
        <v>0</v>
      </c>
      <c r="T23" s="24">
        <v>0</v>
      </c>
      <c r="U23" s="25">
        <v>0</v>
      </c>
      <c r="V23" s="84">
        <v>84.6</v>
      </c>
      <c r="W23" s="84"/>
      <c r="X23" s="84"/>
      <c r="Y23" s="85">
        <f t="shared" si="0"/>
        <v>0</v>
      </c>
      <c r="Z23" s="85"/>
      <c r="AA23" s="85"/>
      <c r="AB23" s="86">
        <v>4.0000000000000002E-4</v>
      </c>
      <c r="AC23" s="86"/>
      <c r="AD23" s="86"/>
      <c r="AE23" s="85">
        <f t="shared" si="2"/>
        <v>0</v>
      </c>
      <c r="AF23" s="85"/>
      <c r="AG23" s="85"/>
    </row>
    <row r="24" spans="1:33" ht="24.5" x14ac:dyDescent="0.35">
      <c r="A24" s="23" t="s">
        <v>54</v>
      </c>
      <c r="B24" s="90">
        <v>0</v>
      </c>
      <c r="C24" s="90"/>
      <c r="D24" s="91">
        <v>0</v>
      </c>
      <c r="E24" s="91"/>
      <c r="F24" s="91"/>
      <c r="G24" s="90">
        <v>0</v>
      </c>
      <c r="H24" s="90"/>
      <c r="I24" s="91">
        <v>0</v>
      </c>
      <c r="J24" s="91"/>
      <c r="K24" s="91"/>
      <c r="L24" s="90">
        <v>0</v>
      </c>
      <c r="M24" s="90"/>
      <c r="N24" s="25">
        <v>0</v>
      </c>
      <c r="O24" s="24">
        <v>0</v>
      </c>
      <c r="P24" s="25">
        <v>0</v>
      </c>
      <c r="Q24" s="90">
        <v>0</v>
      </c>
      <c r="R24" s="90"/>
      <c r="S24" s="25">
        <v>0</v>
      </c>
      <c r="T24" s="24">
        <v>0</v>
      </c>
      <c r="U24" s="25">
        <v>0</v>
      </c>
      <c r="V24" s="84">
        <v>35.25</v>
      </c>
      <c r="W24" s="84"/>
      <c r="X24" s="84"/>
      <c r="Y24" s="85">
        <f t="shared" si="0"/>
        <v>0</v>
      </c>
      <c r="Z24" s="85"/>
      <c r="AA24" s="85"/>
      <c r="AB24" s="92">
        <v>4.0000000000000002E-4</v>
      </c>
      <c r="AC24" s="92"/>
      <c r="AD24" s="26"/>
      <c r="AE24" s="85">
        <f t="shared" si="2"/>
        <v>0</v>
      </c>
      <c r="AF24" s="85"/>
      <c r="AG24" s="85"/>
    </row>
    <row r="25" spans="1:33" ht="36.75" customHeight="1" x14ac:dyDescent="0.35">
      <c r="A25" s="23" t="s">
        <v>55</v>
      </c>
      <c r="B25" s="90">
        <v>0</v>
      </c>
      <c r="C25" s="90"/>
      <c r="D25" s="91">
        <v>0</v>
      </c>
      <c r="E25" s="91"/>
      <c r="F25" s="91"/>
      <c r="G25" s="90">
        <v>0</v>
      </c>
      <c r="H25" s="90"/>
      <c r="I25" s="91">
        <v>0</v>
      </c>
      <c r="J25" s="91"/>
      <c r="K25" s="91"/>
      <c r="L25" s="90">
        <v>0</v>
      </c>
      <c r="M25" s="90"/>
      <c r="N25" s="25">
        <v>0</v>
      </c>
      <c r="O25" s="24">
        <v>0</v>
      </c>
      <c r="P25" s="25">
        <v>0</v>
      </c>
      <c r="Q25" s="90">
        <v>0</v>
      </c>
      <c r="R25" s="90"/>
      <c r="S25" s="25">
        <v>0</v>
      </c>
      <c r="T25" s="24">
        <v>0</v>
      </c>
      <c r="U25" s="25">
        <v>0</v>
      </c>
      <c r="V25" s="84">
        <v>42.3</v>
      </c>
      <c r="W25" s="84"/>
      <c r="X25" s="84"/>
      <c r="Y25" s="85">
        <f t="shared" si="0"/>
        <v>0</v>
      </c>
      <c r="Z25" s="85"/>
      <c r="AA25" s="85"/>
      <c r="AB25" s="92">
        <v>4.0000000000000002E-4</v>
      </c>
      <c r="AC25" s="92"/>
      <c r="AD25" s="26"/>
      <c r="AE25" s="85">
        <f t="shared" si="2"/>
        <v>0</v>
      </c>
      <c r="AF25" s="85"/>
      <c r="AG25" s="85"/>
    </row>
    <row r="26" spans="1:33" x14ac:dyDescent="0.35">
      <c r="A26" s="93" t="s">
        <v>56</v>
      </c>
      <c r="B26" s="94" t="s">
        <v>57</v>
      </c>
      <c r="C26" s="94"/>
      <c r="D26" s="27"/>
      <c r="E26" s="94" t="s">
        <v>58</v>
      </c>
      <c r="F26" s="94"/>
      <c r="G26" s="28"/>
      <c r="H26" s="28"/>
      <c r="I26" s="28"/>
      <c r="J26" s="28"/>
      <c r="K26" s="28"/>
      <c r="L26" s="29"/>
      <c r="M26" s="29"/>
      <c r="N26" s="29"/>
      <c r="O26" s="30"/>
      <c r="P26" s="31"/>
      <c r="Q26" s="31"/>
      <c r="R26" s="31"/>
      <c r="S26" s="29"/>
      <c r="T26" s="32"/>
      <c r="U26" s="29"/>
      <c r="V26" s="33"/>
      <c r="W26" s="33"/>
      <c r="X26" s="33"/>
      <c r="Y26" s="33"/>
      <c r="Z26" s="33"/>
      <c r="AA26" s="33"/>
      <c r="AB26" s="33"/>
      <c r="AC26" s="33"/>
      <c r="AD26" s="33"/>
      <c r="AE26" s="33"/>
      <c r="AF26" s="33"/>
      <c r="AG26" s="33"/>
    </row>
    <row r="27" spans="1:33" ht="36.75" customHeight="1" x14ac:dyDescent="0.35">
      <c r="A27" s="93"/>
      <c r="B27" s="95">
        <f>B22+B23+B24+B25+G22+G23+G24+G25+L22+L23+L24+L25+Q22+Q23+Q25+Q24</f>
        <v>0</v>
      </c>
      <c r="C27" s="96"/>
      <c r="D27" s="34"/>
      <c r="E27" s="96">
        <f>D22+D23+D24+D25+I22+I23+I24+I25+N22+N23+N24+N25+S22+S23+S24+S25</f>
        <v>0</v>
      </c>
      <c r="F27" s="96"/>
      <c r="G27" s="97"/>
      <c r="H27" s="97"/>
      <c r="I27" s="97"/>
      <c r="J27" s="97"/>
      <c r="K27" s="97"/>
      <c r="L27" s="97"/>
      <c r="M27" s="97"/>
      <c r="N27" s="97"/>
      <c r="O27" s="97"/>
      <c r="P27" s="97"/>
      <c r="Q27" s="97"/>
      <c r="R27" s="97"/>
      <c r="S27" s="97"/>
      <c r="T27" s="97"/>
      <c r="U27" s="97"/>
      <c r="V27" s="33"/>
      <c r="W27" s="33"/>
      <c r="X27" s="33"/>
      <c r="Y27" s="33"/>
      <c r="Z27" s="33"/>
      <c r="AA27" s="33"/>
      <c r="AB27" s="33"/>
      <c r="AC27" s="33"/>
      <c r="AD27" s="33"/>
      <c r="AE27" s="33"/>
      <c r="AF27" s="33"/>
      <c r="AG27" s="33"/>
    </row>
    <row r="28" spans="1:33" ht="48" customHeight="1" x14ac:dyDescent="0.35">
      <c r="A28" s="35" t="s">
        <v>59</v>
      </c>
      <c r="B28" s="87" t="s">
        <v>48</v>
      </c>
      <c r="C28" s="87"/>
      <c r="D28" s="87"/>
      <c r="E28" s="87"/>
      <c r="F28" s="87"/>
      <c r="G28" s="87"/>
      <c r="H28" s="87"/>
      <c r="I28" s="87"/>
      <c r="J28" s="19"/>
      <c r="K28" s="19"/>
      <c r="L28" s="88" t="s">
        <v>49</v>
      </c>
      <c r="M28" s="88"/>
      <c r="N28" s="36" t="s">
        <v>50</v>
      </c>
      <c r="O28" s="87" t="s">
        <v>51</v>
      </c>
      <c r="P28" s="87"/>
      <c r="Q28" s="87"/>
      <c r="R28" s="87"/>
      <c r="S28" s="87"/>
      <c r="T28" s="21" t="s">
        <v>49</v>
      </c>
      <c r="U28" s="37" t="s">
        <v>50</v>
      </c>
      <c r="V28" s="89"/>
      <c r="W28" s="89"/>
      <c r="X28" s="22"/>
      <c r="Y28" s="22"/>
      <c r="Z28" s="22"/>
      <c r="AA28" s="22"/>
      <c r="AB28" s="22"/>
      <c r="AC28" s="22"/>
      <c r="AD28" s="22"/>
      <c r="AE28" s="22"/>
      <c r="AF28" s="22"/>
      <c r="AG28" s="22"/>
    </row>
    <row r="29" spans="1:33" ht="21" customHeight="1" x14ac:dyDescent="0.35">
      <c r="A29" s="23" t="s">
        <v>60</v>
      </c>
      <c r="B29" s="90">
        <v>0</v>
      </c>
      <c r="C29" s="90"/>
      <c r="D29" s="91">
        <v>0</v>
      </c>
      <c r="E29" s="91"/>
      <c r="F29" s="91"/>
      <c r="G29" s="90">
        <v>0</v>
      </c>
      <c r="H29" s="90"/>
      <c r="I29" s="91">
        <v>0</v>
      </c>
      <c r="J29" s="91"/>
      <c r="K29" s="91"/>
      <c r="L29" s="90">
        <v>0</v>
      </c>
      <c r="M29" s="90"/>
      <c r="N29" s="25">
        <v>0</v>
      </c>
      <c r="O29" s="24">
        <v>0</v>
      </c>
      <c r="P29" s="25">
        <v>0</v>
      </c>
      <c r="Q29" s="90">
        <v>0</v>
      </c>
      <c r="R29" s="90"/>
      <c r="S29" s="25">
        <v>0</v>
      </c>
      <c r="T29" s="24">
        <v>0</v>
      </c>
      <c r="U29" s="25">
        <v>0</v>
      </c>
      <c r="V29" s="84">
        <v>70.5</v>
      </c>
      <c r="W29" s="84"/>
      <c r="X29" s="84"/>
      <c r="Y29" s="85">
        <f t="shared" si="0"/>
        <v>0</v>
      </c>
      <c r="Z29" s="85"/>
      <c r="AA29" s="85"/>
      <c r="AB29" s="86">
        <v>4.0000000000000002E-4</v>
      </c>
      <c r="AC29" s="86"/>
      <c r="AD29" s="86"/>
      <c r="AE29" s="85">
        <f t="shared" si="2"/>
        <v>0</v>
      </c>
      <c r="AF29" s="85"/>
      <c r="AG29" s="85"/>
    </row>
    <row r="30" spans="1:33" ht="26.25" customHeight="1" x14ac:dyDescent="0.35">
      <c r="A30" s="23" t="s">
        <v>61</v>
      </c>
      <c r="B30" s="90">
        <v>0</v>
      </c>
      <c r="C30" s="90"/>
      <c r="D30" s="91">
        <v>0</v>
      </c>
      <c r="E30" s="91"/>
      <c r="F30" s="91"/>
      <c r="G30" s="90">
        <v>0</v>
      </c>
      <c r="H30" s="90"/>
      <c r="I30" s="91">
        <v>0</v>
      </c>
      <c r="J30" s="91"/>
      <c r="K30" s="91"/>
      <c r="L30" s="90">
        <v>0</v>
      </c>
      <c r="M30" s="90"/>
      <c r="N30" s="25">
        <v>0</v>
      </c>
      <c r="O30" s="24">
        <v>0</v>
      </c>
      <c r="P30" s="25">
        <v>0</v>
      </c>
      <c r="Q30" s="90">
        <v>0</v>
      </c>
      <c r="R30" s="90"/>
      <c r="S30" s="25">
        <v>0</v>
      </c>
      <c r="T30" s="24">
        <v>0</v>
      </c>
      <c r="U30" s="25">
        <v>0</v>
      </c>
      <c r="V30" s="84">
        <v>84.6</v>
      </c>
      <c r="W30" s="84"/>
      <c r="X30" s="84"/>
      <c r="Y30" s="85">
        <f t="shared" si="0"/>
        <v>0</v>
      </c>
      <c r="Z30" s="85"/>
      <c r="AA30" s="85"/>
      <c r="AB30" s="86">
        <v>4.0000000000000002E-4</v>
      </c>
      <c r="AC30" s="86"/>
      <c r="AD30" s="86"/>
      <c r="AE30" s="85">
        <f t="shared" si="2"/>
        <v>0</v>
      </c>
      <c r="AF30" s="85"/>
      <c r="AG30" s="85"/>
    </row>
    <row r="31" spans="1:33" ht="24.5" x14ac:dyDescent="0.35">
      <c r="A31" s="23" t="s">
        <v>62</v>
      </c>
      <c r="B31" s="90">
        <v>0</v>
      </c>
      <c r="C31" s="90"/>
      <c r="D31" s="91">
        <v>0</v>
      </c>
      <c r="E31" s="91"/>
      <c r="F31" s="91"/>
      <c r="G31" s="90">
        <v>0</v>
      </c>
      <c r="H31" s="90"/>
      <c r="I31" s="91">
        <v>0</v>
      </c>
      <c r="J31" s="91"/>
      <c r="K31" s="91"/>
      <c r="L31" s="90">
        <v>0</v>
      </c>
      <c r="M31" s="90"/>
      <c r="N31" s="25">
        <v>0</v>
      </c>
      <c r="O31" s="24">
        <v>0</v>
      </c>
      <c r="P31" s="25">
        <v>0</v>
      </c>
      <c r="Q31" s="90">
        <v>0</v>
      </c>
      <c r="R31" s="90"/>
      <c r="S31" s="25">
        <v>0</v>
      </c>
      <c r="T31" s="24">
        <v>0</v>
      </c>
      <c r="U31" s="25">
        <v>0</v>
      </c>
      <c r="V31" s="84">
        <v>35.25</v>
      </c>
      <c r="W31" s="84"/>
      <c r="X31" s="84"/>
      <c r="Y31" s="85">
        <f t="shared" si="0"/>
        <v>0</v>
      </c>
      <c r="Z31" s="85"/>
      <c r="AA31" s="85"/>
      <c r="AB31" s="92">
        <v>4.0000000000000002E-4</v>
      </c>
      <c r="AC31" s="92"/>
      <c r="AD31" s="26"/>
      <c r="AE31" s="85">
        <f t="shared" si="2"/>
        <v>0</v>
      </c>
      <c r="AF31" s="85"/>
      <c r="AG31" s="85"/>
    </row>
    <row r="32" spans="1:33" ht="24.5" x14ac:dyDescent="0.35">
      <c r="A32" s="23" t="s">
        <v>63</v>
      </c>
      <c r="B32" s="90">
        <v>0</v>
      </c>
      <c r="C32" s="90"/>
      <c r="D32" s="91">
        <v>0</v>
      </c>
      <c r="E32" s="91"/>
      <c r="F32" s="91"/>
      <c r="G32" s="90">
        <v>0</v>
      </c>
      <c r="H32" s="90"/>
      <c r="I32" s="91">
        <v>0</v>
      </c>
      <c r="J32" s="91"/>
      <c r="K32" s="91"/>
      <c r="L32" s="90">
        <v>0</v>
      </c>
      <c r="M32" s="90"/>
      <c r="N32" s="25">
        <v>0</v>
      </c>
      <c r="O32" s="24">
        <v>0</v>
      </c>
      <c r="P32" s="25">
        <v>0</v>
      </c>
      <c r="Q32" s="90">
        <v>0</v>
      </c>
      <c r="R32" s="90"/>
      <c r="S32" s="25">
        <v>0</v>
      </c>
      <c r="T32" s="24">
        <v>0</v>
      </c>
      <c r="U32" s="25">
        <v>0</v>
      </c>
      <c r="V32" s="84">
        <v>42.3</v>
      </c>
      <c r="W32" s="84"/>
      <c r="X32" s="84"/>
      <c r="Y32" s="85">
        <f t="shared" si="0"/>
        <v>0</v>
      </c>
      <c r="Z32" s="85"/>
      <c r="AA32" s="85"/>
      <c r="AB32" s="92">
        <v>4.0000000000000002E-4</v>
      </c>
      <c r="AC32" s="92"/>
      <c r="AD32" s="26"/>
      <c r="AE32" s="85">
        <f t="shared" si="2"/>
        <v>0</v>
      </c>
      <c r="AF32" s="85"/>
      <c r="AG32" s="85"/>
    </row>
    <row r="33" spans="1:33" x14ac:dyDescent="0.35">
      <c r="A33" s="93" t="s">
        <v>64</v>
      </c>
      <c r="B33" s="94" t="s">
        <v>57</v>
      </c>
      <c r="C33" s="94"/>
      <c r="D33" s="27"/>
      <c r="E33" s="94" t="s">
        <v>58</v>
      </c>
      <c r="F33" s="94"/>
      <c r="G33" s="28"/>
      <c r="H33" s="28"/>
      <c r="I33" s="28"/>
      <c r="J33" s="28"/>
      <c r="K33" s="28"/>
      <c r="L33" s="29"/>
      <c r="M33" s="29"/>
      <c r="N33" s="29"/>
      <c r="O33" s="30"/>
      <c r="P33" s="31"/>
      <c r="Q33" s="31"/>
      <c r="R33" s="31"/>
      <c r="S33" s="29"/>
      <c r="T33" s="32"/>
      <c r="U33" s="29"/>
      <c r="V33" s="33"/>
      <c r="W33" s="33"/>
      <c r="X33" s="33"/>
      <c r="Y33" s="33"/>
      <c r="Z33" s="33"/>
      <c r="AA33" s="33"/>
      <c r="AB33" s="33"/>
      <c r="AC33" s="33"/>
      <c r="AD33" s="33"/>
      <c r="AE33" s="33"/>
      <c r="AF33" s="33"/>
      <c r="AG33" s="33"/>
    </row>
    <row r="34" spans="1:33" ht="36.75" customHeight="1" x14ac:dyDescent="0.35">
      <c r="A34" s="93"/>
      <c r="B34" s="95">
        <f>B29+B30+B31+B32+G29+G30+G31+G32+L29+L30+L31+L32+Q29+Q30+Q32+Q31</f>
        <v>0</v>
      </c>
      <c r="C34" s="96"/>
      <c r="D34" s="34"/>
      <c r="E34" s="96">
        <f>D29+D30+D31+D32+I29+I30+I31+I32+N29+N30+N31+N32+S29+S30+S31+S32</f>
        <v>0</v>
      </c>
      <c r="F34" s="96"/>
      <c r="G34" s="97"/>
      <c r="H34" s="97"/>
      <c r="I34" s="97"/>
      <c r="J34" s="97"/>
      <c r="K34" s="97"/>
      <c r="L34" s="97"/>
      <c r="M34" s="97"/>
      <c r="N34" s="97"/>
      <c r="O34" s="97"/>
      <c r="P34" s="97"/>
      <c r="Q34" s="97"/>
      <c r="R34" s="97"/>
      <c r="S34" s="97"/>
      <c r="T34" s="97"/>
      <c r="U34" s="97"/>
      <c r="V34" s="33"/>
      <c r="W34" s="33"/>
      <c r="X34" s="33"/>
      <c r="Y34" s="33"/>
      <c r="Z34" s="33"/>
      <c r="AA34" s="33"/>
      <c r="AB34" s="33"/>
      <c r="AC34" s="33"/>
      <c r="AD34" s="33"/>
      <c r="AE34" s="33"/>
      <c r="AF34" s="33"/>
      <c r="AG34" s="33"/>
    </row>
    <row r="35" spans="1:33" ht="43.5" customHeight="1" x14ac:dyDescent="0.35">
      <c r="A35" s="35" t="s">
        <v>65</v>
      </c>
      <c r="B35" s="87" t="s">
        <v>48</v>
      </c>
      <c r="C35" s="87"/>
      <c r="D35" s="87"/>
      <c r="E35" s="87"/>
      <c r="F35" s="87"/>
      <c r="G35" s="87"/>
      <c r="H35" s="87"/>
      <c r="I35" s="87"/>
      <c r="J35" s="19"/>
      <c r="K35" s="19"/>
      <c r="L35" s="88" t="s">
        <v>49</v>
      </c>
      <c r="M35" s="88"/>
      <c r="N35" s="36" t="s">
        <v>50</v>
      </c>
      <c r="O35" s="87" t="s">
        <v>51</v>
      </c>
      <c r="P35" s="87"/>
      <c r="Q35" s="87"/>
      <c r="R35" s="87"/>
      <c r="S35" s="87"/>
      <c r="T35" s="21" t="s">
        <v>49</v>
      </c>
      <c r="U35" s="36" t="s">
        <v>50</v>
      </c>
      <c r="V35" s="89"/>
      <c r="W35" s="89"/>
      <c r="X35" s="22"/>
      <c r="Y35" s="22"/>
      <c r="Z35" s="22"/>
      <c r="AA35" s="22"/>
      <c r="AB35" s="22"/>
      <c r="AC35" s="22"/>
      <c r="AD35" s="22"/>
      <c r="AE35" s="22"/>
      <c r="AF35" s="22"/>
      <c r="AG35" s="22"/>
    </row>
    <row r="36" spans="1:33" ht="20.25" customHeight="1" x14ac:dyDescent="0.35">
      <c r="A36" s="23" t="s">
        <v>66</v>
      </c>
      <c r="B36" s="90">
        <v>0</v>
      </c>
      <c r="C36" s="90"/>
      <c r="D36" s="91">
        <v>0</v>
      </c>
      <c r="E36" s="91"/>
      <c r="F36" s="91"/>
      <c r="G36" s="90">
        <v>0</v>
      </c>
      <c r="H36" s="90"/>
      <c r="I36" s="91">
        <v>0</v>
      </c>
      <c r="J36" s="91"/>
      <c r="K36" s="91"/>
      <c r="L36" s="90">
        <v>0</v>
      </c>
      <c r="M36" s="90"/>
      <c r="N36" s="25">
        <v>0</v>
      </c>
      <c r="O36" s="24">
        <v>0</v>
      </c>
      <c r="P36" s="25">
        <v>0</v>
      </c>
      <c r="Q36" s="90">
        <v>0</v>
      </c>
      <c r="R36" s="90"/>
      <c r="S36" s="25">
        <v>0</v>
      </c>
      <c r="T36" s="24">
        <v>0</v>
      </c>
      <c r="U36" s="25">
        <v>0</v>
      </c>
      <c r="V36" s="84">
        <v>70.5</v>
      </c>
      <c r="W36" s="84"/>
      <c r="X36" s="84"/>
      <c r="Y36" s="85">
        <f t="shared" si="0"/>
        <v>0</v>
      </c>
      <c r="Z36" s="85"/>
      <c r="AA36" s="85"/>
      <c r="AB36" s="86">
        <v>4.0000000000000002E-4</v>
      </c>
      <c r="AC36" s="86"/>
      <c r="AD36" s="86"/>
      <c r="AE36" s="85">
        <f t="shared" si="2"/>
        <v>0</v>
      </c>
      <c r="AF36" s="85"/>
      <c r="AG36" s="85"/>
    </row>
    <row r="37" spans="1:33" ht="29.25" customHeight="1" x14ac:dyDescent="0.35">
      <c r="A37" s="23" t="s">
        <v>67</v>
      </c>
      <c r="B37" s="90">
        <v>0</v>
      </c>
      <c r="C37" s="90"/>
      <c r="D37" s="91">
        <v>0</v>
      </c>
      <c r="E37" s="91"/>
      <c r="F37" s="91"/>
      <c r="G37" s="90">
        <v>0</v>
      </c>
      <c r="H37" s="90"/>
      <c r="I37" s="91">
        <v>0</v>
      </c>
      <c r="J37" s="91"/>
      <c r="K37" s="91"/>
      <c r="L37" s="90">
        <v>0</v>
      </c>
      <c r="M37" s="90"/>
      <c r="N37" s="25">
        <v>0</v>
      </c>
      <c r="O37" s="24">
        <v>0</v>
      </c>
      <c r="P37" s="25">
        <v>0</v>
      </c>
      <c r="Q37" s="90">
        <v>0</v>
      </c>
      <c r="R37" s="90"/>
      <c r="S37" s="25">
        <v>0</v>
      </c>
      <c r="T37" s="24">
        <v>0</v>
      </c>
      <c r="U37" s="25">
        <v>0</v>
      </c>
      <c r="V37" s="84">
        <v>84.6</v>
      </c>
      <c r="W37" s="84"/>
      <c r="X37" s="84"/>
      <c r="Y37" s="85">
        <f t="shared" si="0"/>
        <v>0</v>
      </c>
      <c r="Z37" s="85"/>
      <c r="AA37" s="85"/>
      <c r="AB37" s="86">
        <v>4.0000000000000002E-4</v>
      </c>
      <c r="AC37" s="86"/>
      <c r="AD37" s="86"/>
      <c r="AE37" s="85">
        <f t="shared" si="2"/>
        <v>0</v>
      </c>
      <c r="AF37" s="85"/>
      <c r="AG37" s="85"/>
    </row>
    <row r="38" spans="1:33" ht="24.5" x14ac:dyDescent="0.35">
      <c r="A38" s="23" t="s">
        <v>68</v>
      </c>
      <c r="B38" s="90">
        <v>0</v>
      </c>
      <c r="C38" s="90"/>
      <c r="D38" s="91">
        <v>0</v>
      </c>
      <c r="E38" s="91"/>
      <c r="F38" s="91"/>
      <c r="G38" s="90">
        <v>0</v>
      </c>
      <c r="H38" s="90"/>
      <c r="I38" s="91">
        <v>0</v>
      </c>
      <c r="J38" s="91"/>
      <c r="K38" s="91"/>
      <c r="L38" s="90">
        <v>0</v>
      </c>
      <c r="M38" s="90"/>
      <c r="N38" s="25">
        <v>0</v>
      </c>
      <c r="O38" s="24">
        <v>0</v>
      </c>
      <c r="P38" s="25">
        <v>0</v>
      </c>
      <c r="Q38" s="90">
        <v>0</v>
      </c>
      <c r="R38" s="90"/>
      <c r="S38" s="25">
        <v>0</v>
      </c>
      <c r="T38" s="24">
        <v>0</v>
      </c>
      <c r="U38" s="25">
        <v>0</v>
      </c>
      <c r="V38" s="84">
        <v>35.25</v>
      </c>
      <c r="W38" s="84"/>
      <c r="X38" s="84"/>
      <c r="Y38" s="85">
        <f t="shared" si="0"/>
        <v>0</v>
      </c>
      <c r="Z38" s="85"/>
      <c r="AA38" s="85"/>
      <c r="AB38" s="92">
        <v>4.0000000000000002E-4</v>
      </c>
      <c r="AC38" s="92"/>
      <c r="AD38" s="26"/>
      <c r="AE38" s="85">
        <f t="shared" si="2"/>
        <v>0</v>
      </c>
      <c r="AF38" s="85"/>
      <c r="AG38" s="85"/>
    </row>
    <row r="39" spans="1:33" ht="24.5" x14ac:dyDescent="0.35">
      <c r="A39" s="23" t="s">
        <v>69</v>
      </c>
      <c r="B39" s="90">
        <v>0</v>
      </c>
      <c r="C39" s="90"/>
      <c r="D39" s="91">
        <v>0</v>
      </c>
      <c r="E39" s="91"/>
      <c r="F39" s="91"/>
      <c r="G39" s="90">
        <v>0</v>
      </c>
      <c r="H39" s="90"/>
      <c r="I39" s="91">
        <v>0</v>
      </c>
      <c r="J39" s="91"/>
      <c r="K39" s="91"/>
      <c r="L39" s="90">
        <v>0</v>
      </c>
      <c r="M39" s="90"/>
      <c r="N39" s="25">
        <v>0</v>
      </c>
      <c r="O39" s="24">
        <v>0</v>
      </c>
      <c r="P39" s="25">
        <v>0</v>
      </c>
      <c r="Q39" s="90">
        <v>0</v>
      </c>
      <c r="R39" s="90"/>
      <c r="S39" s="25">
        <v>0</v>
      </c>
      <c r="T39" s="24">
        <v>0</v>
      </c>
      <c r="U39" s="25">
        <v>0</v>
      </c>
      <c r="V39" s="84">
        <v>42.3</v>
      </c>
      <c r="W39" s="84"/>
      <c r="X39" s="84"/>
      <c r="Y39" s="85">
        <f t="shared" si="0"/>
        <v>0</v>
      </c>
      <c r="Z39" s="85"/>
      <c r="AA39" s="85"/>
      <c r="AB39" s="92">
        <v>4.0000000000000002E-4</v>
      </c>
      <c r="AC39" s="92"/>
      <c r="AD39" s="26"/>
      <c r="AE39" s="85">
        <f t="shared" si="2"/>
        <v>0</v>
      </c>
      <c r="AF39" s="85"/>
      <c r="AG39" s="85"/>
    </row>
    <row r="40" spans="1:33" x14ac:dyDescent="0.35">
      <c r="A40" s="93" t="s">
        <v>70</v>
      </c>
      <c r="B40" s="94" t="s">
        <v>57</v>
      </c>
      <c r="C40" s="94"/>
      <c r="D40" s="27"/>
      <c r="E40" s="94" t="s">
        <v>58</v>
      </c>
      <c r="F40" s="94"/>
      <c r="G40" s="28"/>
      <c r="H40" s="28"/>
      <c r="I40" s="28"/>
      <c r="J40" s="28"/>
      <c r="K40" s="28"/>
      <c r="L40" s="29"/>
      <c r="M40" s="29"/>
      <c r="N40" s="29"/>
      <c r="O40" s="30"/>
      <c r="P40" s="31"/>
      <c r="Q40" s="31"/>
      <c r="R40" s="31"/>
      <c r="S40" s="29"/>
      <c r="T40" s="32"/>
      <c r="U40" s="29"/>
      <c r="V40" s="33"/>
      <c r="W40" s="33"/>
      <c r="X40" s="33"/>
      <c r="Y40" s="33"/>
      <c r="Z40" s="33"/>
      <c r="AA40" s="33"/>
      <c r="AB40" s="33"/>
      <c r="AC40" s="33"/>
      <c r="AD40" s="33"/>
      <c r="AE40" s="33"/>
      <c r="AF40" s="33"/>
      <c r="AG40" s="33"/>
    </row>
    <row r="41" spans="1:33" ht="35.25" customHeight="1" x14ac:dyDescent="0.35">
      <c r="A41" s="93"/>
      <c r="B41" s="95">
        <f>B36+B37+B38+B39+G36+G37+G38+G39+L36+L37+L38+L39+Q36+Q37+Q39+Q38</f>
        <v>0</v>
      </c>
      <c r="C41" s="96"/>
      <c r="D41" s="34"/>
      <c r="E41" s="96">
        <f>D36+D37+D38+D39+I36+I37+I38+I39+N36+N37+N38+N39+S36+S37+S38+S39</f>
        <v>0</v>
      </c>
      <c r="F41" s="96"/>
      <c r="G41" s="97"/>
      <c r="H41" s="97"/>
      <c r="I41" s="97"/>
      <c r="J41" s="97"/>
      <c r="K41" s="97"/>
      <c r="L41" s="97"/>
      <c r="M41" s="97"/>
      <c r="N41" s="97"/>
      <c r="O41" s="97"/>
      <c r="P41" s="97"/>
      <c r="Q41" s="97"/>
      <c r="R41" s="97"/>
      <c r="S41" s="97"/>
      <c r="T41" s="97"/>
      <c r="U41" s="97"/>
      <c r="V41" s="33"/>
      <c r="W41" s="33"/>
      <c r="X41" s="33"/>
      <c r="Y41" s="33"/>
      <c r="Z41" s="33"/>
      <c r="AA41" s="33"/>
      <c r="AB41" s="33"/>
      <c r="AC41" s="33"/>
      <c r="AD41" s="33"/>
      <c r="AE41" s="33"/>
      <c r="AF41" s="33"/>
      <c r="AG41" s="33"/>
    </row>
    <row r="42" spans="1:33" ht="63.75" customHeight="1" x14ac:dyDescent="0.35">
      <c r="A42" s="35" t="s">
        <v>71</v>
      </c>
      <c r="B42" s="87" t="s">
        <v>48</v>
      </c>
      <c r="C42" s="87"/>
      <c r="D42" s="87"/>
      <c r="E42" s="87"/>
      <c r="F42" s="87"/>
      <c r="G42" s="87"/>
      <c r="H42" s="87"/>
      <c r="I42" s="87"/>
      <c r="J42" s="19"/>
      <c r="K42" s="19"/>
      <c r="L42" s="88" t="s">
        <v>49</v>
      </c>
      <c r="M42" s="88"/>
      <c r="N42" s="36" t="s">
        <v>50</v>
      </c>
      <c r="O42" s="87" t="s">
        <v>51</v>
      </c>
      <c r="P42" s="87"/>
      <c r="Q42" s="87"/>
      <c r="R42" s="87"/>
      <c r="S42" s="87"/>
      <c r="T42" s="21" t="s">
        <v>49</v>
      </c>
      <c r="U42" s="36" t="s">
        <v>50</v>
      </c>
      <c r="V42" s="89"/>
      <c r="W42" s="89"/>
      <c r="X42" s="22"/>
      <c r="Y42" s="22"/>
      <c r="Z42" s="22"/>
      <c r="AA42" s="22"/>
      <c r="AB42" s="22"/>
      <c r="AC42" s="22"/>
      <c r="AD42" s="22"/>
      <c r="AE42" s="22"/>
      <c r="AF42" s="22"/>
      <c r="AG42" s="22"/>
    </row>
    <row r="43" spans="1:33" ht="28.5" customHeight="1" x14ac:dyDescent="0.35">
      <c r="A43" s="23" t="s">
        <v>72</v>
      </c>
      <c r="B43" s="90">
        <v>0</v>
      </c>
      <c r="C43" s="90"/>
      <c r="D43" s="91">
        <v>0</v>
      </c>
      <c r="E43" s="91"/>
      <c r="F43" s="91"/>
      <c r="G43" s="90">
        <v>0</v>
      </c>
      <c r="H43" s="90"/>
      <c r="I43" s="91">
        <v>0</v>
      </c>
      <c r="J43" s="91"/>
      <c r="K43" s="91"/>
      <c r="L43" s="90">
        <v>0</v>
      </c>
      <c r="M43" s="90"/>
      <c r="N43" s="25">
        <v>0</v>
      </c>
      <c r="O43" s="24">
        <v>0</v>
      </c>
      <c r="P43" s="25">
        <v>0</v>
      </c>
      <c r="Q43" s="90">
        <v>0</v>
      </c>
      <c r="R43" s="90"/>
      <c r="S43" s="25">
        <v>0</v>
      </c>
      <c r="T43" s="24">
        <v>0</v>
      </c>
      <c r="U43" s="25">
        <v>0</v>
      </c>
      <c r="V43" s="84">
        <v>70.5</v>
      </c>
      <c r="W43" s="84"/>
      <c r="X43" s="84"/>
      <c r="Y43" s="85">
        <f t="shared" si="0"/>
        <v>0</v>
      </c>
      <c r="Z43" s="85"/>
      <c r="AA43" s="85"/>
      <c r="AB43" s="86">
        <v>4.0000000000000002E-4</v>
      </c>
      <c r="AC43" s="86"/>
      <c r="AD43" s="86"/>
      <c r="AE43" s="85">
        <f t="shared" si="2"/>
        <v>0</v>
      </c>
      <c r="AF43" s="85"/>
      <c r="AG43" s="85"/>
    </row>
    <row r="44" spans="1:33" ht="27.75" customHeight="1" x14ac:dyDescent="0.35">
      <c r="A44" s="23" t="s">
        <v>73</v>
      </c>
      <c r="B44" s="90">
        <v>0</v>
      </c>
      <c r="C44" s="90"/>
      <c r="D44" s="91">
        <v>0</v>
      </c>
      <c r="E44" s="91"/>
      <c r="F44" s="91"/>
      <c r="G44" s="90">
        <v>0</v>
      </c>
      <c r="H44" s="90"/>
      <c r="I44" s="91">
        <v>0</v>
      </c>
      <c r="J44" s="91"/>
      <c r="K44" s="91"/>
      <c r="L44" s="90">
        <v>0</v>
      </c>
      <c r="M44" s="90"/>
      <c r="N44" s="25">
        <v>0</v>
      </c>
      <c r="O44" s="24">
        <v>0</v>
      </c>
      <c r="P44" s="25">
        <v>0</v>
      </c>
      <c r="Q44" s="90">
        <v>0</v>
      </c>
      <c r="R44" s="90"/>
      <c r="S44" s="25">
        <v>0</v>
      </c>
      <c r="T44" s="24">
        <v>0</v>
      </c>
      <c r="U44" s="25">
        <v>0</v>
      </c>
      <c r="V44" s="84">
        <v>84.6</v>
      </c>
      <c r="W44" s="84"/>
      <c r="X44" s="84"/>
      <c r="Y44" s="85">
        <f t="shared" si="0"/>
        <v>0</v>
      </c>
      <c r="Z44" s="85"/>
      <c r="AA44" s="85"/>
      <c r="AB44" s="86">
        <v>4.0000000000000002E-4</v>
      </c>
      <c r="AC44" s="86"/>
      <c r="AD44" s="86"/>
      <c r="AE44" s="85">
        <f t="shared" si="2"/>
        <v>0</v>
      </c>
      <c r="AF44" s="85"/>
      <c r="AG44" s="85"/>
    </row>
    <row r="45" spans="1:33" ht="24.5" x14ac:dyDescent="0.35">
      <c r="A45" s="23" t="s">
        <v>74</v>
      </c>
      <c r="B45" s="90">
        <v>0</v>
      </c>
      <c r="C45" s="90"/>
      <c r="D45" s="91">
        <v>0</v>
      </c>
      <c r="E45" s="91"/>
      <c r="F45" s="91"/>
      <c r="G45" s="90">
        <v>0</v>
      </c>
      <c r="H45" s="90"/>
      <c r="I45" s="91">
        <v>0</v>
      </c>
      <c r="J45" s="91"/>
      <c r="K45" s="91"/>
      <c r="L45" s="90">
        <v>0</v>
      </c>
      <c r="M45" s="90"/>
      <c r="N45" s="25">
        <v>0</v>
      </c>
      <c r="O45" s="24">
        <v>0</v>
      </c>
      <c r="P45" s="25">
        <v>0</v>
      </c>
      <c r="Q45" s="90">
        <v>0</v>
      </c>
      <c r="R45" s="90"/>
      <c r="S45" s="25">
        <v>0</v>
      </c>
      <c r="T45" s="24">
        <v>0</v>
      </c>
      <c r="U45" s="25">
        <v>0</v>
      </c>
      <c r="V45" s="84">
        <v>35.25</v>
      </c>
      <c r="W45" s="84"/>
      <c r="X45" s="84"/>
      <c r="Y45" s="85">
        <f t="shared" si="0"/>
        <v>0</v>
      </c>
      <c r="Z45" s="85"/>
      <c r="AA45" s="85"/>
      <c r="AB45" s="92">
        <v>4.0000000000000002E-4</v>
      </c>
      <c r="AC45" s="92"/>
      <c r="AD45" s="26"/>
      <c r="AE45" s="85">
        <f t="shared" si="2"/>
        <v>0</v>
      </c>
      <c r="AF45" s="85"/>
      <c r="AG45" s="85"/>
    </row>
    <row r="46" spans="1:33" ht="24.5" x14ac:dyDescent="0.35">
      <c r="A46" s="23" t="s">
        <v>75</v>
      </c>
      <c r="B46" s="90">
        <v>0</v>
      </c>
      <c r="C46" s="90"/>
      <c r="D46" s="91">
        <v>0</v>
      </c>
      <c r="E46" s="91"/>
      <c r="F46" s="91"/>
      <c r="G46" s="90">
        <v>0</v>
      </c>
      <c r="H46" s="90"/>
      <c r="I46" s="91">
        <v>0</v>
      </c>
      <c r="J46" s="91"/>
      <c r="K46" s="91"/>
      <c r="L46" s="90">
        <v>0</v>
      </c>
      <c r="M46" s="90"/>
      <c r="N46" s="25">
        <v>0</v>
      </c>
      <c r="O46" s="24">
        <v>0</v>
      </c>
      <c r="P46" s="25">
        <v>0</v>
      </c>
      <c r="Q46" s="90">
        <v>0</v>
      </c>
      <c r="R46" s="90"/>
      <c r="S46" s="25">
        <v>0</v>
      </c>
      <c r="T46" s="24">
        <v>0</v>
      </c>
      <c r="U46" s="25">
        <v>0</v>
      </c>
      <c r="V46" s="84">
        <v>42.3</v>
      </c>
      <c r="W46" s="84"/>
      <c r="X46" s="84"/>
      <c r="Y46" s="85">
        <f t="shared" si="0"/>
        <v>0</v>
      </c>
      <c r="Z46" s="85"/>
      <c r="AA46" s="85"/>
      <c r="AB46" s="92">
        <v>4.0000000000000002E-4</v>
      </c>
      <c r="AC46" s="92"/>
      <c r="AD46" s="26"/>
      <c r="AE46" s="85">
        <f t="shared" si="2"/>
        <v>0</v>
      </c>
      <c r="AF46" s="85"/>
      <c r="AG46" s="85"/>
    </row>
    <row r="47" spans="1:33" ht="18" customHeight="1" x14ac:dyDescent="0.35">
      <c r="A47" s="93" t="s">
        <v>76</v>
      </c>
      <c r="B47" s="94" t="s">
        <v>57</v>
      </c>
      <c r="C47" s="94"/>
      <c r="D47" s="27"/>
      <c r="E47" s="94" t="s">
        <v>58</v>
      </c>
      <c r="F47" s="94"/>
      <c r="G47" s="28"/>
      <c r="H47" s="28"/>
      <c r="I47" s="28"/>
      <c r="J47" s="28"/>
      <c r="K47" s="28"/>
      <c r="L47" s="29"/>
      <c r="M47" s="29"/>
      <c r="N47" s="29"/>
      <c r="O47" s="30"/>
      <c r="P47" s="31"/>
      <c r="Q47" s="31"/>
      <c r="R47" s="31"/>
      <c r="S47" s="29"/>
      <c r="T47" s="32"/>
      <c r="U47" s="29"/>
      <c r="V47" s="33"/>
      <c r="W47" s="33"/>
      <c r="X47" s="33"/>
      <c r="Y47" s="33"/>
      <c r="Z47" s="33"/>
      <c r="AA47" s="33"/>
      <c r="AB47" s="33"/>
      <c r="AC47" s="33"/>
      <c r="AD47" s="33"/>
      <c r="AE47" s="33"/>
      <c r="AF47" s="33"/>
      <c r="AG47" s="33"/>
    </row>
    <row r="48" spans="1:33" ht="39" customHeight="1" x14ac:dyDescent="0.35">
      <c r="A48" s="93"/>
      <c r="B48" s="95">
        <f>B43+B44+B45+B46+G43+G44+G45+G46+L43+L44+L45+L46+Q43+Q44+Q46+Q45</f>
        <v>0</v>
      </c>
      <c r="C48" s="96"/>
      <c r="D48" s="34"/>
      <c r="E48" s="96">
        <f>D43+D44+D45+D46+I43+I44+I45+I46+N43+N44+N45+N46+S43+S44+S45+S46</f>
        <v>0</v>
      </c>
      <c r="F48" s="96"/>
      <c r="G48" s="97"/>
      <c r="H48" s="97"/>
      <c r="I48" s="97"/>
      <c r="J48" s="97"/>
      <c r="K48" s="97"/>
      <c r="L48" s="97"/>
      <c r="M48" s="97"/>
      <c r="N48" s="97"/>
      <c r="O48" s="97"/>
      <c r="P48" s="97"/>
      <c r="Q48" s="97"/>
      <c r="R48" s="97"/>
      <c r="S48" s="97"/>
      <c r="T48" s="97"/>
      <c r="U48" s="97"/>
      <c r="V48" s="33"/>
      <c r="W48" s="33"/>
      <c r="X48" s="33"/>
      <c r="Y48" s="33"/>
      <c r="Z48" s="33"/>
      <c r="AA48" s="33"/>
      <c r="AB48" s="33"/>
      <c r="AC48" s="33"/>
      <c r="AD48" s="33"/>
      <c r="AE48" s="33"/>
      <c r="AF48" s="33"/>
      <c r="AG48" s="33"/>
    </row>
    <row r="49" spans="1:33" ht="51" customHeight="1" x14ac:dyDescent="0.35">
      <c r="A49" s="35" t="s">
        <v>77</v>
      </c>
      <c r="B49" s="87" t="s">
        <v>48</v>
      </c>
      <c r="C49" s="87"/>
      <c r="D49" s="87"/>
      <c r="E49" s="87"/>
      <c r="F49" s="87"/>
      <c r="G49" s="87"/>
      <c r="H49" s="87"/>
      <c r="I49" s="87"/>
      <c r="J49" s="19"/>
      <c r="K49" s="19"/>
      <c r="L49" s="88" t="s">
        <v>49</v>
      </c>
      <c r="M49" s="88"/>
      <c r="N49" s="36" t="s">
        <v>50</v>
      </c>
      <c r="O49" s="87" t="s">
        <v>51</v>
      </c>
      <c r="P49" s="87"/>
      <c r="Q49" s="87"/>
      <c r="R49" s="87"/>
      <c r="S49" s="87"/>
      <c r="T49" s="21" t="s">
        <v>49</v>
      </c>
      <c r="U49" s="38" t="s">
        <v>50</v>
      </c>
      <c r="V49" s="89"/>
      <c r="W49" s="89"/>
      <c r="X49" s="22"/>
      <c r="Y49" s="22"/>
      <c r="Z49" s="22"/>
      <c r="AA49" s="22"/>
      <c r="AB49" s="22"/>
      <c r="AC49" s="22"/>
      <c r="AD49" s="22"/>
      <c r="AE49" s="22"/>
      <c r="AF49" s="22"/>
      <c r="AG49" s="22"/>
    </row>
    <row r="50" spans="1:33" ht="34.5" customHeight="1" x14ac:dyDescent="0.35">
      <c r="A50" s="23" t="s">
        <v>78</v>
      </c>
      <c r="B50" s="90">
        <v>0</v>
      </c>
      <c r="C50" s="90"/>
      <c r="D50" s="91">
        <v>0</v>
      </c>
      <c r="E50" s="91"/>
      <c r="F50" s="91"/>
      <c r="G50" s="90">
        <v>0</v>
      </c>
      <c r="H50" s="90"/>
      <c r="I50" s="91">
        <v>0</v>
      </c>
      <c r="J50" s="91"/>
      <c r="K50" s="91"/>
      <c r="L50" s="90">
        <v>0</v>
      </c>
      <c r="M50" s="90"/>
      <c r="N50" s="25">
        <v>0</v>
      </c>
      <c r="O50" s="24">
        <v>0</v>
      </c>
      <c r="P50" s="25">
        <v>0</v>
      </c>
      <c r="Q50" s="90">
        <v>0</v>
      </c>
      <c r="R50" s="90"/>
      <c r="S50" s="25">
        <v>0</v>
      </c>
      <c r="T50" s="24">
        <v>0</v>
      </c>
      <c r="U50" s="25">
        <v>0</v>
      </c>
      <c r="V50" s="84">
        <v>141</v>
      </c>
      <c r="W50" s="84"/>
      <c r="X50" s="84"/>
      <c r="Y50" s="85">
        <f t="shared" si="0"/>
        <v>0</v>
      </c>
      <c r="Z50" s="85"/>
      <c r="AA50" s="85"/>
      <c r="AB50" s="86">
        <v>4.0000000000000002E-4</v>
      </c>
      <c r="AC50" s="86"/>
      <c r="AD50" s="86"/>
      <c r="AE50" s="85">
        <f t="shared" si="2"/>
        <v>0</v>
      </c>
      <c r="AF50" s="85"/>
      <c r="AG50" s="85"/>
    </row>
    <row r="51" spans="1:33" ht="36.75" customHeight="1" x14ac:dyDescent="0.35">
      <c r="A51" s="23" t="s">
        <v>79</v>
      </c>
      <c r="B51" s="90">
        <v>0</v>
      </c>
      <c r="C51" s="90"/>
      <c r="D51" s="91">
        <v>0</v>
      </c>
      <c r="E51" s="91"/>
      <c r="F51" s="91"/>
      <c r="G51" s="90">
        <v>0</v>
      </c>
      <c r="H51" s="90"/>
      <c r="I51" s="91">
        <v>0</v>
      </c>
      <c r="J51" s="91"/>
      <c r="K51" s="91"/>
      <c r="L51" s="90">
        <v>0</v>
      </c>
      <c r="M51" s="90"/>
      <c r="N51" s="25">
        <v>0</v>
      </c>
      <c r="O51" s="24">
        <v>0</v>
      </c>
      <c r="P51" s="25">
        <v>0</v>
      </c>
      <c r="Q51" s="90">
        <v>0</v>
      </c>
      <c r="R51" s="90"/>
      <c r="S51" s="25">
        <v>0</v>
      </c>
      <c r="T51" s="24">
        <v>0</v>
      </c>
      <c r="U51" s="25">
        <v>0</v>
      </c>
      <c r="V51" s="84">
        <v>169.2</v>
      </c>
      <c r="W51" s="84"/>
      <c r="X51" s="84"/>
      <c r="Y51" s="85">
        <f t="shared" si="0"/>
        <v>0</v>
      </c>
      <c r="Z51" s="85"/>
      <c r="AA51" s="85"/>
      <c r="AB51" s="86">
        <v>4.0000000000000002E-4</v>
      </c>
      <c r="AC51" s="86"/>
      <c r="AD51" s="86"/>
      <c r="AE51" s="85">
        <f t="shared" si="2"/>
        <v>0</v>
      </c>
      <c r="AF51" s="85"/>
      <c r="AG51" s="85"/>
    </row>
    <row r="52" spans="1:33" ht="24.5" x14ac:dyDescent="0.35">
      <c r="A52" s="23" t="s">
        <v>80</v>
      </c>
      <c r="B52" s="90">
        <v>0</v>
      </c>
      <c r="C52" s="90"/>
      <c r="D52" s="91">
        <v>0</v>
      </c>
      <c r="E52" s="91"/>
      <c r="F52" s="91"/>
      <c r="G52" s="90">
        <v>0</v>
      </c>
      <c r="H52" s="90"/>
      <c r="I52" s="91">
        <v>0</v>
      </c>
      <c r="J52" s="91"/>
      <c r="K52" s="91"/>
      <c r="L52" s="90">
        <v>0</v>
      </c>
      <c r="M52" s="90"/>
      <c r="N52" s="25">
        <v>0</v>
      </c>
      <c r="O52" s="24">
        <v>0</v>
      </c>
      <c r="P52" s="25">
        <v>0</v>
      </c>
      <c r="Q52" s="90">
        <v>0</v>
      </c>
      <c r="R52" s="90"/>
      <c r="S52" s="25">
        <v>0</v>
      </c>
      <c r="T52" s="24">
        <v>0</v>
      </c>
      <c r="U52" s="25">
        <v>0</v>
      </c>
      <c r="V52" s="84">
        <v>70.5</v>
      </c>
      <c r="W52" s="84"/>
      <c r="X52" s="84"/>
      <c r="Y52" s="85">
        <f t="shared" si="0"/>
        <v>0</v>
      </c>
      <c r="Z52" s="85"/>
      <c r="AA52" s="85"/>
      <c r="AB52" s="92">
        <v>4.0000000000000002E-4</v>
      </c>
      <c r="AC52" s="92"/>
      <c r="AD52" s="26"/>
      <c r="AE52" s="85">
        <f t="shared" si="2"/>
        <v>0</v>
      </c>
      <c r="AF52" s="85"/>
      <c r="AG52" s="85"/>
    </row>
    <row r="53" spans="1:33" ht="24.5" x14ac:dyDescent="0.35">
      <c r="A53" s="23" t="s">
        <v>81</v>
      </c>
      <c r="B53" s="90">
        <v>0</v>
      </c>
      <c r="C53" s="90"/>
      <c r="D53" s="91">
        <v>0</v>
      </c>
      <c r="E53" s="91"/>
      <c r="F53" s="91"/>
      <c r="G53" s="90">
        <v>0</v>
      </c>
      <c r="H53" s="90"/>
      <c r="I53" s="91">
        <v>0</v>
      </c>
      <c r="J53" s="91"/>
      <c r="K53" s="91"/>
      <c r="L53" s="90">
        <v>0</v>
      </c>
      <c r="M53" s="90"/>
      <c r="N53" s="25">
        <v>0</v>
      </c>
      <c r="O53" s="24">
        <v>0</v>
      </c>
      <c r="P53" s="25">
        <v>0</v>
      </c>
      <c r="Q53" s="90">
        <v>0</v>
      </c>
      <c r="R53" s="90"/>
      <c r="S53" s="25">
        <v>0</v>
      </c>
      <c r="T53" s="24">
        <v>0</v>
      </c>
      <c r="U53" s="25">
        <v>0</v>
      </c>
      <c r="V53" s="84">
        <v>84.6</v>
      </c>
      <c r="W53" s="84"/>
      <c r="X53" s="84"/>
      <c r="Y53" s="85">
        <f t="shared" si="0"/>
        <v>0</v>
      </c>
      <c r="Z53" s="85"/>
      <c r="AA53" s="85"/>
      <c r="AB53" s="92">
        <v>4.0000000000000002E-4</v>
      </c>
      <c r="AC53" s="92"/>
      <c r="AD53" s="26"/>
      <c r="AE53" s="85">
        <f t="shared" si="2"/>
        <v>0</v>
      </c>
      <c r="AF53" s="85"/>
      <c r="AG53" s="85"/>
    </row>
    <row r="54" spans="1:33" ht="18" customHeight="1" x14ac:dyDescent="0.35">
      <c r="A54" s="93" t="s">
        <v>82</v>
      </c>
      <c r="B54" s="94" t="s">
        <v>57</v>
      </c>
      <c r="C54" s="94"/>
      <c r="D54" s="27"/>
      <c r="E54" s="94" t="s">
        <v>58</v>
      </c>
      <c r="F54" s="94"/>
      <c r="G54" s="28"/>
      <c r="H54" s="28"/>
      <c r="I54" s="28"/>
      <c r="J54" s="28"/>
      <c r="K54" s="28"/>
      <c r="L54" s="29"/>
      <c r="M54" s="29"/>
      <c r="N54" s="29"/>
      <c r="O54" s="30"/>
      <c r="P54" s="31"/>
      <c r="Q54" s="31"/>
      <c r="R54" s="31"/>
      <c r="S54" s="29"/>
      <c r="T54" s="32"/>
      <c r="U54" s="29"/>
      <c r="V54" s="33"/>
      <c r="W54" s="33"/>
      <c r="X54" s="33"/>
      <c r="Y54" s="33"/>
      <c r="Z54" s="33"/>
      <c r="AA54" s="33"/>
      <c r="AB54" s="33"/>
      <c r="AC54" s="33"/>
      <c r="AD54" s="33"/>
      <c r="AE54" s="33"/>
      <c r="AF54" s="33"/>
      <c r="AG54" s="33"/>
    </row>
    <row r="55" spans="1:33" ht="48" customHeight="1" x14ac:dyDescent="0.35">
      <c r="A55" s="93"/>
      <c r="B55" s="95">
        <f>B50+B51+B52+B53+G50+G51+G52+G53+L50+L51+L52+L53+Q50+Q51+Q53+Q52</f>
        <v>0</v>
      </c>
      <c r="C55" s="96"/>
      <c r="D55" s="34"/>
      <c r="E55" s="96">
        <f>D50+D51+D52+D53+I50+I51+I52+I53+N50+N51+N52+N53+S50+S51+S52+S53</f>
        <v>0</v>
      </c>
      <c r="F55" s="96"/>
      <c r="G55" s="97"/>
      <c r="H55" s="97"/>
      <c r="I55" s="97"/>
      <c r="J55" s="97"/>
      <c r="K55" s="97"/>
      <c r="L55" s="97"/>
      <c r="M55" s="97"/>
      <c r="N55" s="97"/>
      <c r="O55" s="97"/>
      <c r="P55" s="97"/>
      <c r="Q55" s="97"/>
      <c r="R55" s="97"/>
      <c r="S55" s="97"/>
      <c r="T55" s="97"/>
      <c r="U55" s="97"/>
      <c r="V55" s="33"/>
      <c r="W55" s="33"/>
      <c r="X55" s="33"/>
      <c r="Y55" s="33"/>
      <c r="Z55" s="33"/>
      <c r="AA55" s="33"/>
      <c r="AB55" s="33"/>
      <c r="AC55" s="33"/>
      <c r="AD55" s="33"/>
      <c r="AE55" s="33"/>
      <c r="AF55" s="33"/>
      <c r="AG55" s="33"/>
    </row>
    <row r="56" spans="1:33" ht="52.5" customHeight="1" x14ac:dyDescent="0.35">
      <c r="A56" s="35" t="s">
        <v>83</v>
      </c>
      <c r="B56" s="87" t="s">
        <v>48</v>
      </c>
      <c r="C56" s="87"/>
      <c r="D56" s="87"/>
      <c r="E56" s="87"/>
      <c r="F56" s="87"/>
      <c r="G56" s="87"/>
      <c r="H56" s="87"/>
      <c r="I56" s="87"/>
      <c r="J56" s="19"/>
      <c r="K56" s="19"/>
      <c r="L56" s="88" t="s">
        <v>49</v>
      </c>
      <c r="M56" s="88"/>
      <c r="N56" s="36" t="s">
        <v>50</v>
      </c>
      <c r="O56" s="87" t="s">
        <v>51</v>
      </c>
      <c r="P56" s="87"/>
      <c r="Q56" s="87"/>
      <c r="R56" s="87"/>
      <c r="S56" s="87"/>
      <c r="T56" s="21" t="s">
        <v>49</v>
      </c>
      <c r="U56" s="36" t="s">
        <v>50</v>
      </c>
      <c r="V56" s="89"/>
      <c r="W56" s="89"/>
      <c r="X56" s="22"/>
      <c r="Y56" s="22"/>
      <c r="Z56" s="22"/>
      <c r="AA56" s="22"/>
      <c r="AB56" s="22"/>
      <c r="AC56" s="22"/>
      <c r="AD56" s="22"/>
      <c r="AE56" s="22"/>
      <c r="AF56" s="22"/>
      <c r="AG56" s="22"/>
    </row>
    <row r="57" spans="1:33" ht="21" customHeight="1" x14ac:dyDescent="0.35">
      <c r="A57" s="23" t="s">
        <v>84</v>
      </c>
      <c r="B57" s="90">
        <v>0</v>
      </c>
      <c r="C57" s="90"/>
      <c r="D57" s="91">
        <v>0</v>
      </c>
      <c r="E57" s="91"/>
      <c r="F57" s="91"/>
      <c r="G57" s="90">
        <v>0</v>
      </c>
      <c r="H57" s="90"/>
      <c r="I57" s="91">
        <v>0</v>
      </c>
      <c r="J57" s="91"/>
      <c r="K57" s="91"/>
      <c r="L57" s="90">
        <v>0</v>
      </c>
      <c r="M57" s="90"/>
      <c r="N57" s="25">
        <v>0</v>
      </c>
      <c r="O57" s="24">
        <v>0</v>
      </c>
      <c r="P57" s="25">
        <v>0</v>
      </c>
      <c r="Q57" s="90">
        <v>0</v>
      </c>
      <c r="R57" s="90"/>
      <c r="S57" s="25">
        <v>0</v>
      </c>
      <c r="T57" s="24">
        <v>0</v>
      </c>
      <c r="U57" s="25">
        <v>0</v>
      </c>
      <c r="V57" s="84">
        <v>105.75</v>
      </c>
      <c r="W57" s="84"/>
      <c r="X57" s="84"/>
      <c r="Y57" s="85">
        <f t="shared" si="0"/>
        <v>0</v>
      </c>
      <c r="Z57" s="85"/>
      <c r="AA57" s="85"/>
      <c r="AB57" s="86">
        <v>4.0000000000000002E-4</v>
      </c>
      <c r="AC57" s="86"/>
      <c r="AD57" s="86"/>
      <c r="AE57" s="85">
        <f t="shared" si="2"/>
        <v>0</v>
      </c>
      <c r="AF57" s="85"/>
      <c r="AG57" s="85"/>
    </row>
    <row r="58" spans="1:33" ht="27" customHeight="1" x14ac:dyDescent="0.35">
      <c r="A58" s="23" t="s">
        <v>85</v>
      </c>
      <c r="B58" s="90">
        <v>0</v>
      </c>
      <c r="C58" s="90"/>
      <c r="D58" s="91">
        <v>0</v>
      </c>
      <c r="E58" s="91"/>
      <c r="F58" s="91"/>
      <c r="G58" s="90">
        <v>0</v>
      </c>
      <c r="H58" s="90"/>
      <c r="I58" s="91">
        <v>0</v>
      </c>
      <c r="J58" s="91"/>
      <c r="K58" s="91"/>
      <c r="L58" s="90">
        <v>0</v>
      </c>
      <c r="M58" s="90"/>
      <c r="N58" s="25">
        <v>0</v>
      </c>
      <c r="O58" s="24">
        <v>0</v>
      </c>
      <c r="P58" s="25">
        <v>0</v>
      </c>
      <c r="Q58" s="90">
        <v>0</v>
      </c>
      <c r="R58" s="90"/>
      <c r="S58" s="25">
        <v>0</v>
      </c>
      <c r="T58" s="24">
        <v>0</v>
      </c>
      <c r="U58" s="25">
        <v>0</v>
      </c>
      <c r="V58" s="84">
        <v>126.9</v>
      </c>
      <c r="W58" s="84"/>
      <c r="X58" s="84"/>
      <c r="Y58" s="85">
        <f t="shared" si="0"/>
        <v>0</v>
      </c>
      <c r="Z58" s="85"/>
      <c r="AA58" s="85"/>
      <c r="AB58" s="86">
        <v>4.0000000000000002E-4</v>
      </c>
      <c r="AC58" s="86"/>
      <c r="AD58" s="86"/>
      <c r="AE58" s="85">
        <f t="shared" si="2"/>
        <v>0</v>
      </c>
      <c r="AF58" s="85"/>
      <c r="AG58" s="85"/>
    </row>
    <row r="59" spans="1:33" ht="24.5" x14ac:dyDescent="0.35">
      <c r="A59" s="23" t="s">
        <v>86</v>
      </c>
      <c r="B59" s="90">
        <v>0</v>
      </c>
      <c r="C59" s="90"/>
      <c r="D59" s="91">
        <v>0</v>
      </c>
      <c r="E59" s="91"/>
      <c r="F59" s="91"/>
      <c r="G59" s="90">
        <v>0</v>
      </c>
      <c r="H59" s="90"/>
      <c r="I59" s="91">
        <v>0</v>
      </c>
      <c r="J59" s="91"/>
      <c r="K59" s="91"/>
      <c r="L59" s="90">
        <v>0</v>
      </c>
      <c r="M59" s="90"/>
      <c r="N59" s="25">
        <v>0</v>
      </c>
      <c r="O59" s="24">
        <v>0</v>
      </c>
      <c r="P59" s="25">
        <v>0</v>
      </c>
      <c r="Q59" s="90">
        <v>0</v>
      </c>
      <c r="R59" s="90"/>
      <c r="S59" s="25">
        <v>0</v>
      </c>
      <c r="T59" s="24">
        <v>0</v>
      </c>
      <c r="U59" s="25">
        <v>0</v>
      </c>
      <c r="V59" s="84">
        <v>52.88</v>
      </c>
      <c r="W59" s="84"/>
      <c r="X59" s="84"/>
      <c r="Y59" s="85">
        <f t="shared" si="0"/>
        <v>0</v>
      </c>
      <c r="Z59" s="85"/>
      <c r="AA59" s="85"/>
      <c r="AB59" s="92">
        <v>4.0000000000000002E-4</v>
      </c>
      <c r="AC59" s="92"/>
      <c r="AD59" s="26"/>
      <c r="AE59" s="85">
        <f t="shared" si="2"/>
        <v>0</v>
      </c>
      <c r="AF59" s="85"/>
      <c r="AG59" s="85"/>
    </row>
    <row r="60" spans="1:33" ht="24.5" x14ac:dyDescent="0.35">
      <c r="A60" s="23" t="s">
        <v>87</v>
      </c>
      <c r="B60" s="90">
        <v>0</v>
      </c>
      <c r="C60" s="90"/>
      <c r="D60" s="91">
        <v>0</v>
      </c>
      <c r="E60" s="91"/>
      <c r="F60" s="91"/>
      <c r="G60" s="90">
        <v>0</v>
      </c>
      <c r="H60" s="90"/>
      <c r="I60" s="91">
        <v>0</v>
      </c>
      <c r="J60" s="91"/>
      <c r="K60" s="91"/>
      <c r="L60" s="90">
        <v>0</v>
      </c>
      <c r="M60" s="90"/>
      <c r="N60" s="25">
        <v>0</v>
      </c>
      <c r="O60" s="24">
        <v>0</v>
      </c>
      <c r="P60" s="25">
        <v>0</v>
      </c>
      <c r="Q60" s="90">
        <v>0</v>
      </c>
      <c r="R60" s="90"/>
      <c r="S60" s="25">
        <v>0</v>
      </c>
      <c r="T60" s="24">
        <v>0</v>
      </c>
      <c r="U60" s="25">
        <v>0</v>
      </c>
      <c r="V60" s="84">
        <v>63.45</v>
      </c>
      <c r="W60" s="84"/>
      <c r="X60" s="84"/>
      <c r="Y60" s="85">
        <f t="shared" si="0"/>
        <v>0</v>
      </c>
      <c r="Z60" s="85"/>
      <c r="AA60" s="85"/>
      <c r="AB60" s="92">
        <v>4.0000000000000002E-4</v>
      </c>
      <c r="AC60" s="92"/>
      <c r="AD60" s="26"/>
      <c r="AE60" s="85">
        <f t="shared" si="2"/>
        <v>0</v>
      </c>
      <c r="AF60" s="85"/>
      <c r="AG60" s="85"/>
    </row>
    <row r="61" spans="1:33" ht="21" customHeight="1" x14ac:dyDescent="0.35">
      <c r="A61" s="93" t="s">
        <v>88</v>
      </c>
      <c r="B61" s="94" t="s">
        <v>57</v>
      </c>
      <c r="C61" s="94"/>
      <c r="D61" s="27"/>
      <c r="E61" s="94" t="s">
        <v>58</v>
      </c>
      <c r="F61" s="94"/>
      <c r="G61" s="28"/>
      <c r="H61" s="28"/>
      <c r="I61" s="28"/>
      <c r="J61" s="28"/>
      <c r="K61" s="28"/>
      <c r="L61" s="29"/>
      <c r="M61" s="29"/>
      <c r="N61" s="29"/>
      <c r="O61" s="30"/>
      <c r="P61" s="31"/>
      <c r="Q61" s="31"/>
      <c r="R61" s="31"/>
      <c r="S61" s="29"/>
      <c r="T61" s="32"/>
      <c r="U61" s="29"/>
      <c r="V61" s="33"/>
      <c r="W61" s="33"/>
      <c r="X61" s="33"/>
      <c r="Y61" s="33"/>
      <c r="Z61" s="33"/>
      <c r="AA61" s="33"/>
      <c r="AB61" s="33"/>
      <c r="AC61" s="33"/>
      <c r="AD61" s="33"/>
      <c r="AE61" s="33"/>
      <c r="AF61" s="33"/>
      <c r="AG61" s="33"/>
    </row>
    <row r="62" spans="1:33" ht="55.5" customHeight="1" x14ac:dyDescent="0.35">
      <c r="A62" s="93"/>
      <c r="B62" s="95">
        <f>B57+B58+B59+B60+G57+G58+G59+G60+L57+L58+L59+L60+Q57+Q58+Q60+Q59</f>
        <v>0</v>
      </c>
      <c r="C62" s="96"/>
      <c r="D62" s="34"/>
      <c r="E62" s="96">
        <f>D57+D58+D59+D60+I57+I58+I59+I60+N57+N58+N59+N60+S57+S58+S59+S60</f>
        <v>0</v>
      </c>
      <c r="F62" s="96"/>
      <c r="G62" s="97"/>
      <c r="H62" s="97"/>
      <c r="I62" s="97"/>
      <c r="J62" s="97"/>
      <c r="K62" s="97"/>
      <c r="L62" s="97"/>
      <c r="M62" s="97"/>
      <c r="N62" s="97"/>
      <c r="O62" s="97"/>
      <c r="P62" s="97"/>
      <c r="Q62" s="97"/>
      <c r="R62" s="97"/>
      <c r="S62" s="97"/>
      <c r="T62" s="97"/>
      <c r="U62" s="97"/>
      <c r="V62" s="33"/>
      <c r="W62" s="33"/>
      <c r="X62" s="33"/>
      <c r="Y62" s="33"/>
      <c r="Z62" s="33"/>
      <c r="AA62" s="33"/>
      <c r="AB62" s="33"/>
      <c r="AC62" s="33"/>
      <c r="AD62" s="33"/>
      <c r="AE62" s="33"/>
      <c r="AF62" s="33"/>
      <c r="AG62" s="33"/>
    </row>
    <row r="63" spans="1:33" ht="61.5" customHeight="1" x14ac:dyDescent="0.35">
      <c r="A63" s="35" t="s">
        <v>89</v>
      </c>
      <c r="B63" s="87" t="s">
        <v>48</v>
      </c>
      <c r="C63" s="87"/>
      <c r="D63" s="87"/>
      <c r="E63" s="87"/>
      <c r="F63" s="87"/>
      <c r="G63" s="87"/>
      <c r="H63" s="87"/>
      <c r="I63" s="87"/>
      <c r="J63" s="19"/>
      <c r="K63" s="19"/>
      <c r="L63" s="88" t="s">
        <v>49</v>
      </c>
      <c r="M63" s="88"/>
      <c r="N63" s="36" t="s">
        <v>50</v>
      </c>
      <c r="O63" s="87" t="s">
        <v>51</v>
      </c>
      <c r="P63" s="87"/>
      <c r="Q63" s="87"/>
      <c r="R63" s="87"/>
      <c r="S63" s="87"/>
      <c r="T63" s="21" t="s">
        <v>49</v>
      </c>
      <c r="U63" s="36" t="s">
        <v>50</v>
      </c>
      <c r="V63" s="89"/>
      <c r="W63" s="89"/>
      <c r="X63" s="22"/>
      <c r="Y63" s="22"/>
      <c r="Z63" s="22"/>
      <c r="AA63" s="22"/>
      <c r="AB63" s="22"/>
      <c r="AC63" s="22"/>
      <c r="AD63" s="22"/>
      <c r="AE63" s="22"/>
      <c r="AF63" s="22"/>
      <c r="AG63" s="22"/>
    </row>
    <row r="64" spans="1:33" ht="34.5" x14ac:dyDescent="0.35">
      <c r="A64" s="23" t="s">
        <v>90</v>
      </c>
      <c r="B64" s="90">
        <v>0</v>
      </c>
      <c r="C64" s="90"/>
      <c r="D64" s="91">
        <v>0</v>
      </c>
      <c r="E64" s="91"/>
      <c r="F64" s="91"/>
      <c r="G64" s="90">
        <v>0</v>
      </c>
      <c r="H64" s="90"/>
      <c r="I64" s="91">
        <v>0</v>
      </c>
      <c r="J64" s="91"/>
      <c r="K64" s="91"/>
      <c r="L64" s="90">
        <v>0</v>
      </c>
      <c r="M64" s="90"/>
      <c r="N64" s="25">
        <v>0</v>
      </c>
      <c r="O64" s="24">
        <v>0</v>
      </c>
      <c r="P64" s="25">
        <v>0</v>
      </c>
      <c r="Q64" s="90">
        <v>0</v>
      </c>
      <c r="R64" s="90"/>
      <c r="S64" s="25">
        <v>0</v>
      </c>
      <c r="T64" s="24">
        <v>0</v>
      </c>
      <c r="U64" s="25">
        <v>0</v>
      </c>
      <c r="V64" s="84">
        <v>141</v>
      </c>
      <c r="W64" s="84"/>
      <c r="X64" s="84"/>
      <c r="Y64" s="85">
        <f t="shared" si="0"/>
        <v>0</v>
      </c>
      <c r="Z64" s="85"/>
      <c r="AA64" s="85"/>
      <c r="AB64" s="86">
        <v>4.0000000000000002E-4</v>
      </c>
      <c r="AC64" s="86"/>
      <c r="AD64" s="86"/>
      <c r="AE64" s="85">
        <f t="shared" si="2"/>
        <v>0</v>
      </c>
      <c r="AF64" s="85"/>
      <c r="AG64" s="85"/>
    </row>
    <row r="65" spans="1:33" ht="34.5" x14ac:dyDescent="0.35">
      <c r="A65" s="23" t="s">
        <v>91</v>
      </c>
      <c r="B65" s="90">
        <v>0</v>
      </c>
      <c r="C65" s="90"/>
      <c r="D65" s="91">
        <v>0</v>
      </c>
      <c r="E65" s="91"/>
      <c r="F65" s="91"/>
      <c r="G65" s="90">
        <v>0</v>
      </c>
      <c r="H65" s="90"/>
      <c r="I65" s="91">
        <v>0</v>
      </c>
      <c r="J65" s="91"/>
      <c r="K65" s="91"/>
      <c r="L65" s="90">
        <v>0</v>
      </c>
      <c r="M65" s="90"/>
      <c r="N65" s="25">
        <v>0</v>
      </c>
      <c r="O65" s="24">
        <v>0</v>
      </c>
      <c r="P65" s="25">
        <v>0</v>
      </c>
      <c r="Q65" s="90">
        <v>0</v>
      </c>
      <c r="R65" s="90"/>
      <c r="S65" s="25">
        <v>0</v>
      </c>
      <c r="T65" s="24">
        <v>0</v>
      </c>
      <c r="U65" s="25">
        <v>0</v>
      </c>
      <c r="V65" s="84">
        <v>169.2</v>
      </c>
      <c r="W65" s="84"/>
      <c r="X65" s="84"/>
      <c r="Y65" s="85">
        <f t="shared" si="0"/>
        <v>0</v>
      </c>
      <c r="Z65" s="85"/>
      <c r="AA65" s="85"/>
      <c r="AB65" s="86">
        <v>4.0000000000000002E-4</v>
      </c>
      <c r="AC65" s="86"/>
      <c r="AD65" s="86"/>
      <c r="AE65" s="85">
        <f t="shared" si="2"/>
        <v>0</v>
      </c>
      <c r="AF65" s="85"/>
      <c r="AG65" s="85"/>
    </row>
    <row r="66" spans="1:33" ht="47.5" x14ac:dyDescent="0.35">
      <c r="A66" s="23" t="s">
        <v>92</v>
      </c>
      <c r="B66" s="90">
        <v>0</v>
      </c>
      <c r="C66" s="90"/>
      <c r="D66" s="91">
        <v>0</v>
      </c>
      <c r="E66" s="91"/>
      <c r="F66" s="91"/>
      <c r="G66" s="90">
        <v>0</v>
      </c>
      <c r="H66" s="90"/>
      <c r="I66" s="91">
        <v>0</v>
      </c>
      <c r="J66" s="91"/>
      <c r="K66" s="91"/>
      <c r="L66" s="90">
        <v>0</v>
      </c>
      <c r="M66" s="90"/>
      <c r="N66" s="25">
        <v>0</v>
      </c>
      <c r="O66" s="24">
        <v>0</v>
      </c>
      <c r="P66" s="25">
        <v>0</v>
      </c>
      <c r="Q66" s="90">
        <v>0</v>
      </c>
      <c r="R66" s="90"/>
      <c r="S66" s="25">
        <v>0</v>
      </c>
      <c r="T66" s="24">
        <v>0</v>
      </c>
      <c r="U66" s="25">
        <v>0</v>
      </c>
      <c r="V66" s="84">
        <v>70.5</v>
      </c>
      <c r="W66" s="84"/>
      <c r="X66" s="84"/>
      <c r="Y66" s="85">
        <f t="shared" si="0"/>
        <v>0</v>
      </c>
      <c r="Z66" s="85"/>
      <c r="AA66" s="85"/>
      <c r="AB66" s="92">
        <v>4.0000000000000002E-4</v>
      </c>
      <c r="AC66" s="92"/>
      <c r="AD66" s="26"/>
      <c r="AE66" s="85">
        <f t="shared" si="2"/>
        <v>0</v>
      </c>
      <c r="AF66" s="85"/>
      <c r="AG66" s="85"/>
    </row>
    <row r="67" spans="1:33" ht="47.5" x14ac:dyDescent="0.35">
      <c r="A67" s="23" t="s">
        <v>93</v>
      </c>
      <c r="B67" s="90">
        <v>0</v>
      </c>
      <c r="C67" s="90"/>
      <c r="D67" s="91">
        <v>0</v>
      </c>
      <c r="E67" s="91"/>
      <c r="F67" s="91"/>
      <c r="G67" s="90">
        <v>0</v>
      </c>
      <c r="H67" s="90"/>
      <c r="I67" s="91">
        <v>0</v>
      </c>
      <c r="J67" s="91"/>
      <c r="K67" s="91"/>
      <c r="L67" s="90">
        <v>0</v>
      </c>
      <c r="M67" s="90"/>
      <c r="N67" s="25">
        <v>0</v>
      </c>
      <c r="O67" s="24">
        <v>0</v>
      </c>
      <c r="P67" s="25">
        <v>0</v>
      </c>
      <c r="Q67" s="90">
        <v>0</v>
      </c>
      <c r="R67" s="90"/>
      <c r="S67" s="25">
        <v>0</v>
      </c>
      <c r="T67" s="24">
        <v>0</v>
      </c>
      <c r="U67" s="25">
        <v>0</v>
      </c>
      <c r="V67" s="84">
        <v>84.6</v>
      </c>
      <c r="W67" s="84"/>
      <c r="X67" s="84"/>
      <c r="Y67" s="85">
        <f t="shared" si="0"/>
        <v>0</v>
      </c>
      <c r="Z67" s="85"/>
      <c r="AA67" s="85"/>
      <c r="AB67" s="92">
        <v>4.0000000000000002E-4</v>
      </c>
      <c r="AC67" s="92"/>
      <c r="AD67" s="26"/>
      <c r="AE67" s="85">
        <f t="shared" si="2"/>
        <v>0</v>
      </c>
      <c r="AF67" s="85"/>
      <c r="AG67" s="85"/>
    </row>
    <row r="68" spans="1:33" ht="18.75" customHeight="1" x14ac:dyDescent="0.35">
      <c r="A68" s="93" t="s">
        <v>94</v>
      </c>
      <c r="B68" s="94" t="s">
        <v>57</v>
      </c>
      <c r="C68" s="94"/>
      <c r="D68" s="27"/>
      <c r="E68" s="94" t="s">
        <v>58</v>
      </c>
      <c r="F68" s="98"/>
      <c r="G68" s="28"/>
      <c r="H68" s="28"/>
      <c r="I68" s="28"/>
      <c r="J68" s="28"/>
      <c r="K68" s="28"/>
      <c r="L68" s="29"/>
      <c r="M68" s="29"/>
      <c r="N68" s="29"/>
      <c r="O68" s="30"/>
      <c r="P68" s="31"/>
      <c r="Q68" s="31"/>
      <c r="R68" s="31"/>
      <c r="S68" s="29"/>
      <c r="T68" s="32"/>
      <c r="U68" s="29"/>
      <c r="V68" s="33"/>
      <c r="W68" s="33"/>
      <c r="X68" s="33"/>
      <c r="Y68" s="33"/>
      <c r="Z68" s="33"/>
      <c r="AA68" s="33"/>
      <c r="AB68" s="33"/>
      <c r="AC68" s="33"/>
      <c r="AD68" s="33"/>
      <c r="AE68" s="33"/>
      <c r="AF68" s="33"/>
      <c r="AG68" s="33"/>
    </row>
    <row r="69" spans="1:33" ht="37.5" customHeight="1" x14ac:dyDescent="0.35">
      <c r="A69" s="93"/>
      <c r="B69" s="95">
        <f>B64+B65+B66+B67+G64+G65+G66+G67+L64+L65+L66+L67+Q64+Q65+Q67+Q66</f>
        <v>0</v>
      </c>
      <c r="C69" s="96"/>
      <c r="D69" s="34"/>
      <c r="E69" s="96">
        <f>D64+D65+D66+D67+I64+I65+I66+I67+N64+N65+N66+N67+S64+S65+S66+S67</f>
        <v>0</v>
      </c>
      <c r="F69" s="96"/>
      <c r="G69" s="97"/>
      <c r="H69" s="97"/>
      <c r="I69" s="97"/>
      <c r="J69" s="97"/>
      <c r="K69" s="97"/>
      <c r="L69" s="97"/>
      <c r="M69" s="97"/>
      <c r="N69" s="97"/>
      <c r="O69" s="97"/>
      <c r="P69" s="97"/>
      <c r="Q69" s="97"/>
      <c r="R69" s="97"/>
      <c r="S69" s="97"/>
      <c r="T69" s="97"/>
      <c r="U69" s="97"/>
      <c r="V69" s="33"/>
      <c r="W69" s="33"/>
      <c r="X69" s="33"/>
      <c r="Y69" s="33"/>
      <c r="Z69" s="33"/>
      <c r="AA69" s="33"/>
      <c r="AB69" s="33"/>
      <c r="AC69" s="33"/>
      <c r="AD69" s="33"/>
      <c r="AE69" s="33"/>
      <c r="AF69" s="33"/>
      <c r="AG69" s="33"/>
    </row>
    <row r="70" spans="1:33" ht="40.15" customHeight="1" x14ac:dyDescent="0.35">
      <c r="A70" s="39" t="s">
        <v>95</v>
      </c>
      <c r="B70" s="90">
        <v>0</v>
      </c>
      <c r="C70" s="90"/>
      <c r="D70" s="91">
        <v>0</v>
      </c>
      <c r="E70" s="91"/>
      <c r="F70" s="91"/>
      <c r="G70" s="90">
        <v>0</v>
      </c>
      <c r="H70" s="90"/>
      <c r="I70" s="91">
        <v>0</v>
      </c>
      <c r="J70" s="91"/>
      <c r="K70" s="91"/>
      <c r="L70" s="90">
        <v>0</v>
      </c>
      <c r="M70" s="90"/>
      <c r="N70" s="25">
        <v>0</v>
      </c>
      <c r="O70" s="24">
        <v>0</v>
      </c>
      <c r="P70" s="25">
        <v>0</v>
      </c>
      <c r="Q70" s="90">
        <v>0</v>
      </c>
      <c r="R70" s="90"/>
      <c r="S70" s="25">
        <v>0</v>
      </c>
      <c r="T70" s="24">
        <v>0</v>
      </c>
      <c r="U70" s="25">
        <v>0</v>
      </c>
      <c r="V70" s="84">
        <v>70.5</v>
      </c>
      <c r="W70" s="84"/>
      <c r="X70" s="84"/>
      <c r="Y70" s="85">
        <f t="shared" si="0"/>
        <v>0</v>
      </c>
      <c r="Z70" s="85"/>
      <c r="AA70" s="85"/>
      <c r="AB70" s="86">
        <v>4.0000000000000002E-4</v>
      </c>
      <c r="AC70" s="86"/>
      <c r="AD70" s="86"/>
      <c r="AE70" s="85">
        <f t="shared" si="2"/>
        <v>0</v>
      </c>
      <c r="AF70" s="85"/>
      <c r="AG70" s="85"/>
    </row>
    <row r="71" spans="1:33" ht="48" customHeight="1" x14ac:dyDescent="0.35">
      <c r="A71" s="39" t="s">
        <v>96</v>
      </c>
      <c r="B71" s="90">
        <v>0</v>
      </c>
      <c r="C71" s="90"/>
      <c r="D71" s="91">
        <v>0</v>
      </c>
      <c r="E71" s="91"/>
      <c r="F71" s="91"/>
      <c r="G71" s="90">
        <v>0</v>
      </c>
      <c r="H71" s="90"/>
      <c r="I71" s="91">
        <v>0</v>
      </c>
      <c r="J71" s="91"/>
      <c r="K71" s="91"/>
      <c r="L71" s="90">
        <v>0</v>
      </c>
      <c r="M71" s="90"/>
      <c r="N71" s="25">
        <v>0</v>
      </c>
      <c r="O71" s="24">
        <v>0</v>
      </c>
      <c r="P71" s="25">
        <v>0</v>
      </c>
      <c r="Q71" s="90">
        <v>0</v>
      </c>
      <c r="R71" s="90"/>
      <c r="S71" s="25">
        <v>0</v>
      </c>
      <c r="T71" s="24">
        <v>0</v>
      </c>
      <c r="U71" s="25">
        <v>0</v>
      </c>
      <c r="V71" s="84">
        <v>70.5</v>
      </c>
      <c r="W71" s="84"/>
      <c r="X71" s="84"/>
      <c r="Y71" s="85">
        <f t="shared" si="0"/>
        <v>0</v>
      </c>
      <c r="Z71" s="85"/>
      <c r="AA71" s="85"/>
      <c r="AB71" s="86">
        <v>4.0000000000000002E-4</v>
      </c>
      <c r="AC71" s="86"/>
      <c r="AD71" s="86"/>
      <c r="AE71" s="85">
        <f t="shared" si="2"/>
        <v>0</v>
      </c>
      <c r="AF71" s="85"/>
      <c r="AG71" s="85"/>
    </row>
    <row r="72" spans="1:33" ht="42" customHeight="1" x14ac:dyDescent="0.35">
      <c r="A72" s="35" t="s">
        <v>97</v>
      </c>
      <c r="B72" s="99" t="s">
        <v>48</v>
      </c>
      <c r="C72" s="99"/>
      <c r="D72" s="99"/>
      <c r="E72" s="99"/>
      <c r="F72" s="99"/>
      <c r="G72" s="99"/>
      <c r="H72" s="99"/>
      <c r="I72" s="99"/>
      <c r="J72" s="40"/>
      <c r="K72" s="40"/>
      <c r="L72" s="100" t="s">
        <v>49</v>
      </c>
      <c r="M72" s="100"/>
      <c r="N72" s="41" t="s">
        <v>50</v>
      </c>
      <c r="O72" s="99" t="s">
        <v>51</v>
      </c>
      <c r="P72" s="99"/>
      <c r="Q72" s="99"/>
      <c r="R72" s="99"/>
      <c r="S72" s="99"/>
      <c r="T72" s="42" t="s">
        <v>49</v>
      </c>
      <c r="U72" s="41" t="s">
        <v>50</v>
      </c>
      <c r="V72" s="99"/>
      <c r="W72" s="99"/>
      <c r="X72" s="40"/>
      <c r="Y72" s="22"/>
      <c r="Z72" s="22"/>
      <c r="AA72" s="22"/>
      <c r="AB72" s="22"/>
      <c r="AC72" s="22"/>
      <c r="AD72" s="22"/>
      <c r="AE72" s="22"/>
      <c r="AF72" s="22"/>
      <c r="AG72" s="22"/>
    </row>
    <row r="73" spans="1:33" ht="32.5" customHeight="1" x14ac:dyDescent="0.35">
      <c r="A73" s="23" t="s">
        <v>98</v>
      </c>
      <c r="B73" s="90">
        <v>0</v>
      </c>
      <c r="C73" s="90"/>
      <c r="D73" s="91">
        <v>0</v>
      </c>
      <c r="E73" s="91"/>
      <c r="F73" s="91"/>
      <c r="G73" s="90">
        <v>0</v>
      </c>
      <c r="H73" s="90"/>
      <c r="I73" s="91">
        <v>0</v>
      </c>
      <c r="J73" s="91"/>
      <c r="K73" s="91"/>
      <c r="L73" s="90">
        <v>0</v>
      </c>
      <c r="M73" s="90"/>
      <c r="N73" s="25">
        <v>0</v>
      </c>
      <c r="O73" s="24">
        <v>0</v>
      </c>
      <c r="P73" s="25">
        <v>0</v>
      </c>
      <c r="Q73" s="90">
        <v>0</v>
      </c>
      <c r="R73" s="90"/>
      <c r="S73" s="25">
        <v>0</v>
      </c>
      <c r="T73" s="24">
        <v>0</v>
      </c>
      <c r="U73" s="25">
        <v>0</v>
      </c>
      <c r="V73" s="84">
        <v>141</v>
      </c>
      <c r="W73" s="84"/>
      <c r="X73" s="84"/>
      <c r="Y73" s="85">
        <f t="shared" si="0"/>
        <v>0</v>
      </c>
      <c r="Z73" s="85"/>
      <c r="AA73" s="85"/>
      <c r="AB73" s="86">
        <v>4.0000000000000002E-4</v>
      </c>
      <c r="AC73" s="86"/>
      <c r="AD73" s="86"/>
      <c r="AE73" s="85">
        <f t="shared" si="2"/>
        <v>0</v>
      </c>
      <c r="AF73" s="85"/>
      <c r="AG73" s="85"/>
    </row>
    <row r="74" spans="1:33" ht="39" customHeight="1" x14ac:dyDescent="0.35">
      <c r="A74" s="23" t="s">
        <v>99</v>
      </c>
      <c r="B74" s="90">
        <v>0</v>
      </c>
      <c r="C74" s="90"/>
      <c r="D74" s="91">
        <v>0</v>
      </c>
      <c r="E74" s="91"/>
      <c r="F74" s="91"/>
      <c r="G74" s="90">
        <v>0</v>
      </c>
      <c r="H74" s="90"/>
      <c r="I74" s="91">
        <v>0</v>
      </c>
      <c r="J74" s="91"/>
      <c r="K74" s="91"/>
      <c r="L74" s="90">
        <v>0</v>
      </c>
      <c r="M74" s="90"/>
      <c r="N74" s="25">
        <v>0</v>
      </c>
      <c r="O74" s="24">
        <v>0</v>
      </c>
      <c r="P74" s="25">
        <v>0</v>
      </c>
      <c r="Q74" s="90">
        <v>0</v>
      </c>
      <c r="R74" s="90"/>
      <c r="S74" s="25">
        <v>0</v>
      </c>
      <c r="T74" s="24">
        <v>0</v>
      </c>
      <c r="U74" s="25">
        <v>0</v>
      </c>
      <c r="V74" s="84">
        <v>169.2</v>
      </c>
      <c r="W74" s="84"/>
      <c r="X74" s="84"/>
      <c r="Y74" s="85">
        <f t="shared" si="0"/>
        <v>0</v>
      </c>
      <c r="Z74" s="85"/>
      <c r="AA74" s="85"/>
      <c r="AB74" s="86">
        <v>4.0000000000000002E-4</v>
      </c>
      <c r="AC74" s="86"/>
      <c r="AD74" s="86"/>
      <c r="AE74" s="85">
        <f t="shared" si="2"/>
        <v>0</v>
      </c>
      <c r="AF74" s="85"/>
      <c r="AG74" s="85"/>
    </row>
    <row r="75" spans="1:33" ht="42.75" customHeight="1" x14ac:dyDescent="0.35">
      <c r="A75" s="23" t="s">
        <v>100</v>
      </c>
      <c r="B75" s="90">
        <v>0</v>
      </c>
      <c r="C75" s="90"/>
      <c r="D75" s="91">
        <v>0</v>
      </c>
      <c r="E75" s="91"/>
      <c r="F75" s="91"/>
      <c r="G75" s="90">
        <v>0</v>
      </c>
      <c r="H75" s="90"/>
      <c r="I75" s="91">
        <v>0</v>
      </c>
      <c r="J75" s="91"/>
      <c r="K75" s="91"/>
      <c r="L75" s="90">
        <v>0</v>
      </c>
      <c r="M75" s="90"/>
      <c r="N75" s="25">
        <v>0</v>
      </c>
      <c r="O75" s="24">
        <v>0</v>
      </c>
      <c r="P75" s="25">
        <v>0</v>
      </c>
      <c r="Q75" s="90">
        <v>0</v>
      </c>
      <c r="R75" s="90"/>
      <c r="S75" s="25">
        <v>0</v>
      </c>
      <c r="T75" s="24">
        <v>0</v>
      </c>
      <c r="U75" s="25">
        <v>0</v>
      </c>
      <c r="V75" s="84">
        <v>70.5</v>
      </c>
      <c r="W75" s="84"/>
      <c r="X75" s="84"/>
      <c r="Y75" s="85">
        <f t="shared" si="0"/>
        <v>0</v>
      </c>
      <c r="Z75" s="85"/>
      <c r="AA75" s="85"/>
      <c r="AB75" s="92">
        <v>4.0000000000000002E-4</v>
      </c>
      <c r="AC75" s="92"/>
      <c r="AD75" s="26"/>
      <c r="AE75" s="85">
        <f t="shared" si="2"/>
        <v>0</v>
      </c>
      <c r="AF75" s="85"/>
      <c r="AG75" s="85"/>
    </row>
    <row r="76" spans="1:33" ht="53.25" customHeight="1" x14ac:dyDescent="0.35">
      <c r="A76" s="23" t="s">
        <v>101</v>
      </c>
      <c r="B76" s="90">
        <v>0</v>
      </c>
      <c r="C76" s="90"/>
      <c r="D76" s="91">
        <v>0</v>
      </c>
      <c r="E76" s="91"/>
      <c r="F76" s="91"/>
      <c r="G76" s="90">
        <v>0</v>
      </c>
      <c r="H76" s="90"/>
      <c r="I76" s="91">
        <v>0</v>
      </c>
      <c r="J76" s="91"/>
      <c r="K76" s="91"/>
      <c r="L76" s="90">
        <v>0</v>
      </c>
      <c r="M76" s="90"/>
      <c r="N76" s="25">
        <v>0</v>
      </c>
      <c r="O76" s="24">
        <v>0</v>
      </c>
      <c r="P76" s="25">
        <v>0</v>
      </c>
      <c r="Q76" s="90">
        <v>0</v>
      </c>
      <c r="R76" s="90"/>
      <c r="S76" s="25">
        <v>0</v>
      </c>
      <c r="T76" s="24">
        <v>0</v>
      </c>
      <c r="U76" s="25">
        <v>0</v>
      </c>
      <c r="V76" s="84">
        <v>84.6</v>
      </c>
      <c r="W76" s="84"/>
      <c r="X76" s="84"/>
      <c r="Y76" s="85">
        <f t="shared" si="0"/>
        <v>0</v>
      </c>
      <c r="Z76" s="85"/>
      <c r="AA76" s="85"/>
      <c r="AB76" s="92">
        <v>4.0000000000000002E-4</v>
      </c>
      <c r="AC76" s="92"/>
      <c r="AD76" s="26"/>
      <c r="AE76" s="85">
        <f t="shared" si="2"/>
        <v>0</v>
      </c>
      <c r="AF76" s="85"/>
      <c r="AG76" s="85"/>
    </row>
    <row r="77" spans="1:33" ht="15" customHeight="1" x14ac:dyDescent="0.35">
      <c r="A77" s="93" t="s">
        <v>102</v>
      </c>
      <c r="B77" s="94" t="s">
        <v>57</v>
      </c>
      <c r="C77" s="94"/>
      <c r="D77" s="27"/>
      <c r="E77" s="94" t="s">
        <v>58</v>
      </c>
      <c r="F77" s="98"/>
      <c r="G77" s="101">
        <v>0</v>
      </c>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row>
    <row r="78" spans="1:33" ht="37.5" customHeight="1" x14ac:dyDescent="0.35">
      <c r="A78" s="93"/>
      <c r="B78" s="95">
        <f>B73+B74+B75+B76+G73+G74+G75+G76+L73+L74+L75+L76+V78+Q73+Q74+Q75+Q76</f>
        <v>0</v>
      </c>
      <c r="C78" s="96"/>
      <c r="D78" s="34"/>
      <c r="E78" s="96">
        <f>D73+D74+D75+D76+I73+I74+I75+I76+N73+N74+N75+N76+S73+S74+S75+S76</f>
        <v>0</v>
      </c>
      <c r="F78" s="96"/>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row>
    <row r="79" spans="1:33" ht="27" customHeight="1" x14ac:dyDescent="0.35">
      <c r="A79" s="94" t="s">
        <v>103</v>
      </c>
      <c r="B79" s="94"/>
      <c r="C79" s="94"/>
      <c r="D79" s="94"/>
      <c r="E79" s="94"/>
      <c r="F79" s="94"/>
      <c r="G79" s="94"/>
      <c r="H79" s="94"/>
      <c r="I79" s="94"/>
      <c r="J79" s="102">
        <f>Y14+Y15+Y16+Y17+Y18+Y19+Y20+Y22+Y23+Y24+Y25+Y29+Y30+Y31+Y32+Y36+Y37+Y38+Y39+Y43+Y44+Y45+Y46+Y50+Y51+Y52+Y53+Y57+Y58+Y59+Y60+Y64+Y65+Y66+Y67+Y70+Y71+Y73+Y74+Y75+Y76</f>
        <v>0</v>
      </c>
      <c r="K79" s="102"/>
      <c r="L79" s="102"/>
      <c r="M79" s="94" t="s">
        <v>104</v>
      </c>
      <c r="N79" s="94"/>
      <c r="O79" s="94"/>
      <c r="P79" s="94"/>
      <c r="Q79" s="94"/>
      <c r="R79" s="94"/>
      <c r="S79" s="94"/>
      <c r="T79" s="94"/>
      <c r="U79" s="102">
        <f>AE14+AE15+AE16+AE17+AE18+AE19+AE20+AE22+AE23+AE25+AE24+AE29+AE30+AE31+AE32+AE36+AE37+AE38+AE39+AE43+AE44+AE45+AE46+AE50+AE51+AE52+AE53+AE57+AE58+AE59+AE60+AE64+AE65+AE66+AE67+AE70+AE71+AE73+AE74+AE75+AE76</f>
        <v>0</v>
      </c>
      <c r="V79" s="102"/>
      <c r="W79" s="102"/>
      <c r="X79" s="43"/>
      <c r="Y79" s="33"/>
      <c r="Z79" s="33"/>
      <c r="AA79" s="33"/>
      <c r="AB79" s="33"/>
      <c r="AC79" s="33"/>
      <c r="AD79" s="33"/>
      <c r="AE79" s="33"/>
      <c r="AF79" s="33"/>
      <c r="AG79" s="33"/>
    </row>
    <row r="80" spans="1:33" ht="43.5" customHeight="1" x14ac:dyDescent="0.35">
      <c r="A80" s="44" t="s">
        <v>105</v>
      </c>
      <c r="B80" s="103">
        <f>J79+U79</f>
        <v>0</v>
      </c>
      <c r="C80" s="103"/>
      <c r="D80" s="45"/>
      <c r="E80" s="45"/>
      <c r="F80" s="45"/>
      <c r="G80" s="45"/>
      <c r="H80" s="45"/>
      <c r="I80" s="45"/>
      <c r="J80" s="46"/>
      <c r="K80" s="46"/>
      <c r="L80" s="46"/>
      <c r="M80" s="47"/>
      <c r="N80" s="47"/>
      <c r="O80" s="47"/>
      <c r="P80" s="47"/>
      <c r="Q80" s="47"/>
      <c r="R80" s="47"/>
      <c r="S80" s="47"/>
      <c r="T80" s="47"/>
      <c r="U80" s="46"/>
      <c r="V80" s="46"/>
      <c r="W80" s="46"/>
    </row>
    <row r="82" spans="1:33" ht="80.25" customHeight="1" x14ac:dyDescent="0.35">
      <c r="A82" s="104" t="s">
        <v>106</v>
      </c>
      <c r="B82" s="105"/>
      <c r="C82" s="105"/>
      <c r="D82" s="105"/>
      <c r="E82" s="105"/>
      <c r="F82" s="105"/>
      <c r="G82" s="105"/>
      <c r="H82" s="105"/>
      <c r="I82" s="105"/>
      <c r="J82" s="105"/>
      <c r="K82" s="105"/>
      <c r="L82" s="106"/>
      <c r="M82" s="1"/>
      <c r="N82" s="107" t="s">
        <v>107</v>
      </c>
      <c r="O82" s="107"/>
      <c r="P82" s="107"/>
      <c r="Q82" s="107"/>
      <c r="R82" s="107"/>
      <c r="S82" s="107"/>
      <c r="T82" s="107"/>
      <c r="U82" s="107"/>
      <c r="V82" s="107"/>
      <c r="W82" s="107"/>
    </row>
    <row r="83" spans="1:33" ht="15" customHeight="1" x14ac:dyDescent="0.35">
      <c r="A83" s="108" t="s">
        <v>108</v>
      </c>
      <c r="B83" s="109"/>
      <c r="C83" s="110"/>
      <c r="D83" s="48" t="s">
        <v>109</v>
      </c>
      <c r="E83" s="108" t="s">
        <v>109</v>
      </c>
      <c r="F83" s="109"/>
      <c r="G83" s="109"/>
      <c r="H83" s="110"/>
      <c r="I83" s="80" t="s">
        <v>110</v>
      </c>
      <c r="J83" s="80"/>
      <c r="K83" s="80"/>
      <c r="L83" s="80"/>
      <c r="M83" s="1"/>
      <c r="N83" s="1"/>
      <c r="O83" s="1"/>
      <c r="P83" s="1"/>
      <c r="Q83" s="1"/>
      <c r="R83" s="1"/>
      <c r="S83" s="1"/>
      <c r="T83" s="1"/>
      <c r="U83" s="1"/>
      <c r="V83" s="1"/>
      <c r="W83" s="1"/>
    </row>
    <row r="84" spans="1:33" x14ac:dyDescent="0.35">
      <c r="A84" s="111"/>
      <c r="B84" s="112"/>
      <c r="C84" s="113"/>
      <c r="D84" s="48"/>
      <c r="E84" s="111"/>
      <c r="F84" s="112"/>
      <c r="G84" s="112"/>
      <c r="H84" s="113"/>
      <c r="I84" s="80"/>
      <c r="J84" s="80"/>
      <c r="K84" s="80"/>
      <c r="L84" s="80"/>
      <c r="M84" s="2"/>
      <c r="N84" s="2"/>
      <c r="O84" s="2"/>
      <c r="P84" s="2"/>
      <c r="Q84" s="2"/>
      <c r="R84" s="2"/>
      <c r="S84" s="2"/>
      <c r="T84" s="2"/>
      <c r="U84" s="2"/>
      <c r="V84" s="2"/>
      <c r="W84" s="2"/>
      <c r="X84" s="3"/>
      <c r="Y84" s="3"/>
      <c r="Z84" s="3"/>
      <c r="AA84" s="3"/>
      <c r="AB84" s="3"/>
      <c r="AC84" s="3"/>
      <c r="AD84" s="3"/>
      <c r="AE84" s="3"/>
      <c r="AF84" s="3"/>
      <c r="AG84" s="3"/>
    </row>
    <row r="85" spans="1:33" x14ac:dyDescent="0.35">
      <c r="A85" s="114">
        <v>0</v>
      </c>
      <c r="B85" s="114"/>
      <c r="C85" s="114"/>
      <c r="D85" s="49">
        <v>3</v>
      </c>
      <c r="E85" s="115">
        <v>3</v>
      </c>
      <c r="F85" s="115"/>
      <c r="G85" s="115"/>
      <c r="H85" s="115"/>
      <c r="I85" s="85">
        <f>E85*A85</f>
        <v>0</v>
      </c>
      <c r="J85" s="116"/>
      <c r="K85" s="116"/>
      <c r="L85" s="116"/>
      <c r="M85" s="2"/>
      <c r="N85" s="2"/>
      <c r="O85" s="2"/>
      <c r="P85" s="2"/>
      <c r="Q85" s="2"/>
      <c r="R85" s="2"/>
      <c r="S85" s="2"/>
      <c r="T85" s="2"/>
      <c r="U85" s="2"/>
      <c r="V85" s="2"/>
      <c r="W85" s="2"/>
      <c r="X85" s="3"/>
      <c r="Y85" s="3"/>
      <c r="Z85" s="3"/>
      <c r="AA85" s="3"/>
      <c r="AB85" s="3"/>
      <c r="AC85" s="3"/>
      <c r="AD85" s="3"/>
      <c r="AE85" s="3"/>
      <c r="AF85" s="3"/>
      <c r="AG85" s="3"/>
    </row>
    <row r="86" spans="1:33" x14ac:dyDescent="0.35">
      <c r="A86" s="114"/>
      <c r="B86" s="114"/>
      <c r="C86" s="114"/>
      <c r="D86" s="49"/>
      <c r="E86" s="115"/>
      <c r="F86" s="115"/>
      <c r="G86" s="115"/>
      <c r="H86" s="115"/>
      <c r="I86" s="116"/>
      <c r="J86" s="116"/>
      <c r="K86" s="116"/>
      <c r="L86" s="116"/>
      <c r="M86" s="2"/>
      <c r="N86" s="2"/>
      <c r="O86" s="2"/>
      <c r="P86" s="2"/>
      <c r="Q86" s="2"/>
      <c r="R86" s="2"/>
      <c r="S86" s="2"/>
      <c r="T86" s="2"/>
      <c r="U86" s="2"/>
      <c r="V86" s="2"/>
      <c r="W86" s="2"/>
      <c r="X86" s="3"/>
      <c r="Y86" s="3"/>
      <c r="Z86" s="3"/>
      <c r="AA86" s="3"/>
      <c r="AB86" s="3"/>
      <c r="AC86" s="3"/>
      <c r="AD86" s="3"/>
      <c r="AE86" s="3"/>
      <c r="AF86" s="3"/>
      <c r="AG86" s="3"/>
    </row>
    <row r="87" spans="1:33" x14ac:dyDescent="0.35">
      <c r="A87" s="114"/>
      <c r="B87" s="114"/>
      <c r="C87" s="114"/>
      <c r="D87" s="49"/>
      <c r="E87" s="115"/>
      <c r="F87" s="115"/>
      <c r="G87" s="115"/>
      <c r="H87" s="115"/>
      <c r="I87" s="116"/>
      <c r="J87" s="116"/>
      <c r="K87" s="116"/>
      <c r="L87" s="116"/>
      <c r="M87" s="2"/>
      <c r="N87" s="2"/>
      <c r="O87" s="2"/>
      <c r="P87" s="2"/>
      <c r="Q87" s="2"/>
      <c r="R87" s="2"/>
      <c r="S87" s="2"/>
      <c r="T87" s="2"/>
      <c r="U87" s="2"/>
      <c r="V87" s="2"/>
      <c r="W87" s="2"/>
      <c r="X87" s="3"/>
      <c r="Y87" s="3"/>
      <c r="Z87" s="3"/>
      <c r="AA87" s="3"/>
      <c r="AB87" s="3"/>
      <c r="AC87" s="3"/>
      <c r="AD87" s="3"/>
      <c r="AE87" s="3"/>
      <c r="AF87" s="3"/>
      <c r="AG87" s="3"/>
    </row>
    <row r="88" spans="1:33" ht="27.75" customHeight="1" x14ac:dyDescent="0.35">
      <c r="A88" s="114"/>
      <c r="B88" s="114"/>
      <c r="C88" s="114"/>
      <c r="D88" s="49"/>
      <c r="E88" s="115"/>
      <c r="F88" s="115"/>
      <c r="G88" s="115"/>
      <c r="H88" s="115"/>
      <c r="I88" s="116"/>
      <c r="J88" s="116"/>
      <c r="K88" s="116"/>
      <c r="L88" s="116"/>
      <c r="M88" s="2"/>
      <c r="N88" s="2"/>
      <c r="O88" s="2"/>
      <c r="P88" s="2"/>
      <c r="Q88" s="2"/>
      <c r="R88" s="2"/>
      <c r="S88" s="2"/>
      <c r="T88" s="2"/>
      <c r="U88" s="2"/>
      <c r="V88" s="2"/>
      <c r="W88" s="2"/>
      <c r="X88" s="3"/>
      <c r="Y88" s="3"/>
      <c r="Z88" s="3"/>
      <c r="AA88" s="3"/>
      <c r="AB88" s="3"/>
      <c r="AC88" s="3"/>
      <c r="AD88" s="3"/>
      <c r="AE88" s="3"/>
      <c r="AF88" s="3"/>
      <c r="AG88" s="3"/>
    </row>
    <row r="89" spans="1:33" x14ac:dyDescent="0.35">
      <c r="A89" s="114"/>
      <c r="B89" s="114"/>
      <c r="C89" s="114"/>
      <c r="D89" s="49"/>
      <c r="E89" s="115"/>
      <c r="F89" s="115"/>
      <c r="G89" s="115"/>
      <c r="H89" s="115"/>
      <c r="I89" s="116"/>
      <c r="J89" s="116"/>
      <c r="K89" s="116"/>
      <c r="L89" s="116"/>
      <c r="M89" s="2"/>
      <c r="N89" s="2"/>
      <c r="O89" s="2"/>
      <c r="P89" s="2"/>
      <c r="Q89" s="2"/>
      <c r="R89" s="2"/>
      <c r="S89" s="2"/>
      <c r="T89" s="2"/>
      <c r="U89" s="2"/>
      <c r="V89" s="2"/>
      <c r="W89" s="2"/>
      <c r="X89" s="3"/>
      <c r="Y89" s="3"/>
      <c r="Z89" s="3"/>
      <c r="AA89" s="3"/>
      <c r="AB89" s="3"/>
      <c r="AC89" s="3"/>
      <c r="AD89" s="3"/>
      <c r="AE89" s="3"/>
      <c r="AF89" s="3"/>
      <c r="AG89" s="3"/>
    </row>
    <row r="90" spans="1:33" x14ac:dyDescent="0.35">
      <c r="A90" s="114"/>
      <c r="B90" s="114"/>
      <c r="C90" s="114"/>
      <c r="D90" s="49"/>
      <c r="E90" s="115"/>
      <c r="F90" s="115"/>
      <c r="G90" s="115"/>
      <c r="H90" s="115"/>
      <c r="I90" s="116"/>
      <c r="J90" s="116"/>
      <c r="K90" s="116"/>
      <c r="L90" s="116"/>
      <c r="M90" s="2"/>
      <c r="N90" s="2"/>
      <c r="O90" s="2"/>
      <c r="P90" s="2"/>
      <c r="Q90" s="2"/>
      <c r="R90" s="2"/>
      <c r="S90" s="2"/>
      <c r="T90" s="2"/>
      <c r="U90" s="2"/>
      <c r="V90" s="2"/>
      <c r="W90" s="2"/>
      <c r="X90" s="3"/>
      <c r="Y90" s="3"/>
      <c r="Z90" s="3"/>
      <c r="AA90" s="3"/>
      <c r="AB90" s="3"/>
      <c r="AC90" s="3"/>
      <c r="AD90" s="3"/>
      <c r="AE90" s="3"/>
      <c r="AF90" s="3"/>
      <c r="AG90" s="3"/>
    </row>
    <row r="91" spans="1:33" x14ac:dyDescent="0.35">
      <c r="A91" s="114"/>
      <c r="B91" s="114"/>
      <c r="C91" s="114"/>
      <c r="D91" s="49"/>
      <c r="E91" s="115"/>
      <c r="F91" s="115"/>
      <c r="G91" s="115"/>
      <c r="H91" s="115"/>
      <c r="I91" s="116"/>
      <c r="J91" s="116"/>
      <c r="K91" s="116"/>
      <c r="L91" s="116"/>
      <c r="M91" s="2"/>
      <c r="N91" s="2"/>
      <c r="O91" s="2"/>
      <c r="P91" s="2"/>
      <c r="Q91" s="2"/>
      <c r="R91" s="2"/>
      <c r="S91" s="2"/>
      <c r="T91" s="2"/>
      <c r="U91" s="2"/>
      <c r="V91" s="2"/>
      <c r="W91" s="2"/>
      <c r="X91" s="3"/>
      <c r="Y91" s="3"/>
      <c r="Z91" s="3"/>
      <c r="AA91" s="3"/>
      <c r="AB91" s="3"/>
      <c r="AC91" s="3"/>
      <c r="AD91" s="3"/>
      <c r="AE91" s="3"/>
      <c r="AF91" s="3"/>
      <c r="AG91" s="3"/>
    </row>
    <row r="92" spans="1:33" x14ac:dyDescent="0.35">
      <c r="A92" s="114"/>
      <c r="B92" s="114"/>
      <c r="C92" s="114"/>
      <c r="D92" s="49"/>
      <c r="E92" s="115"/>
      <c r="F92" s="115"/>
      <c r="G92" s="115"/>
      <c r="H92" s="115"/>
      <c r="I92" s="116"/>
      <c r="J92" s="116"/>
      <c r="K92" s="116"/>
      <c r="L92" s="116"/>
      <c r="M92" s="2"/>
      <c r="N92" s="2"/>
      <c r="O92" s="2"/>
      <c r="P92" s="2"/>
      <c r="Q92" s="2"/>
      <c r="R92" s="2"/>
      <c r="S92" s="2"/>
      <c r="T92" s="2"/>
      <c r="U92" s="2"/>
      <c r="V92" s="2"/>
      <c r="W92" s="2"/>
      <c r="X92" s="3"/>
      <c r="Y92" s="3"/>
      <c r="Z92" s="3"/>
      <c r="AA92" s="3"/>
      <c r="AB92" s="3"/>
      <c r="AC92" s="3"/>
      <c r="AD92" s="3"/>
      <c r="AE92" s="3"/>
      <c r="AF92" s="3"/>
      <c r="AG92" s="3"/>
    </row>
    <row r="93" spans="1:33" ht="39" customHeight="1" x14ac:dyDescent="0.35">
      <c r="A93" s="94" t="s">
        <v>111</v>
      </c>
      <c r="B93" s="94"/>
      <c r="C93" s="94"/>
      <c r="D93" s="94"/>
      <c r="E93" s="94"/>
      <c r="F93" s="94"/>
      <c r="G93" s="94"/>
      <c r="H93" s="94"/>
      <c r="I93" s="94"/>
      <c r="J93" s="94"/>
      <c r="K93" s="102">
        <f>I85</f>
        <v>0</v>
      </c>
      <c r="L93" s="102"/>
      <c r="M93" s="2"/>
      <c r="N93" s="2"/>
      <c r="O93" s="2"/>
      <c r="P93" s="2"/>
      <c r="Q93" s="2"/>
      <c r="R93" s="2"/>
      <c r="S93" s="2"/>
      <c r="T93" s="2"/>
      <c r="U93" s="2"/>
      <c r="V93" s="2"/>
      <c r="W93" s="2"/>
      <c r="X93" s="3"/>
      <c r="Y93" s="3"/>
      <c r="Z93" s="3"/>
      <c r="AA93" s="3"/>
      <c r="AB93" s="3"/>
      <c r="AC93" s="3"/>
      <c r="AD93" s="3"/>
      <c r="AE93" s="3"/>
      <c r="AF93" s="3"/>
      <c r="AG93" s="3"/>
    </row>
    <row r="94" spans="1:33" ht="40.5" customHeight="1" x14ac:dyDescent="0.35">
      <c r="A94" s="117" t="s">
        <v>112</v>
      </c>
      <c r="B94" s="117"/>
      <c r="C94" s="117"/>
      <c r="D94" s="117"/>
      <c r="E94" s="117"/>
      <c r="F94" s="117"/>
      <c r="G94" s="117"/>
      <c r="H94" s="117"/>
      <c r="I94" s="117"/>
      <c r="J94" s="117"/>
      <c r="K94" s="118">
        <f>B80+I85</f>
        <v>0</v>
      </c>
      <c r="L94" s="118"/>
      <c r="M94" s="2"/>
      <c r="N94" s="2"/>
      <c r="O94" s="2"/>
      <c r="P94" s="2"/>
      <c r="Q94" s="2"/>
      <c r="R94" s="2"/>
      <c r="S94" s="2"/>
      <c r="T94" s="2"/>
      <c r="U94" s="2"/>
      <c r="V94" s="2"/>
      <c r="W94" s="2"/>
      <c r="X94" s="3"/>
      <c r="Y94" s="3"/>
      <c r="Z94" s="3"/>
      <c r="AA94" s="3"/>
      <c r="AB94" s="3"/>
      <c r="AC94" s="3"/>
      <c r="AD94" s="3"/>
      <c r="AE94" s="3"/>
      <c r="AF94" s="3"/>
      <c r="AG94" s="3"/>
    </row>
    <row r="95" spans="1:33" ht="30" customHeight="1" x14ac:dyDescent="0.35">
      <c r="A95" s="1"/>
      <c r="B95" s="1"/>
      <c r="C95" s="1"/>
      <c r="D95" s="1"/>
      <c r="E95" s="1"/>
      <c r="F95" s="1"/>
      <c r="G95" s="1"/>
      <c r="H95" s="1"/>
      <c r="I95" s="1"/>
      <c r="J95" s="1"/>
      <c r="K95" s="1"/>
      <c r="L95" s="1"/>
      <c r="M95" s="2"/>
      <c r="N95" s="2"/>
      <c r="O95" s="2"/>
      <c r="P95" s="2"/>
      <c r="Q95" s="2"/>
      <c r="R95" s="2"/>
      <c r="S95" s="2"/>
      <c r="T95" s="2"/>
      <c r="U95" s="2"/>
      <c r="V95" s="2"/>
      <c r="W95" s="2"/>
      <c r="X95" s="3"/>
      <c r="Y95" s="3"/>
      <c r="Z95" s="3"/>
      <c r="AA95" s="3"/>
      <c r="AB95" s="3"/>
      <c r="AC95" s="3"/>
      <c r="AD95" s="3"/>
      <c r="AE95" s="3"/>
      <c r="AF95" s="3"/>
      <c r="AG95" s="3"/>
    </row>
    <row r="96" spans="1:33" ht="42.75" customHeight="1" x14ac:dyDescent="0.35">
      <c r="A96" s="119" t="s">
        <v>113</v>
      </c>
      <c r="B96" s="119"/>
      <c r="C96" s="119"/>
      <c r="D96" s="119"/>
      <c r="E96" s="119"/>
      <c r="F96" s="119"/>
      <c r="G96" s="119"/>
      <c r="H96" s="119"/>
      <c r="I96" s="119"/>
      <c r="J96" s="119"/>
      <c r="K96" s="119"/>
      <c r="L96" s="119"/>
      <c r="M96" s="2"/>
      <c r="N96" s="2"/>
      <c r="O96" s="2"/>
      <c r="P96" s="2"/>
      <c r="Q96" s="2"/>
      <c r="R96" s="2"/>
      <c r="S96" s="2"/>
      <c r="T96" s="2"/>
      <c r="U96" s="2"/>
      <c r="V96" s="2"/>
      <c r="W96" s="2"/>
      <c r="X96" s="3"/>
      <c r="Y96" s="3"/>
      <c r="Z96" s="3"/>
      <c r="AA96" s="3"/>
      <c r="AB96" s="3"/>
      <c r="AC96" s="3"/>
      <c r="AD96" s="3"/>
      <c r="AE96" s="3"/>
      <c r="AF96" s="3"/>
      <c r="AG96" s="3"/>
    </row>
    <row r="97" spans="1:33" x14ac:dyDescent="0.35">
      <c r="A97" s="120" t="s">
        <v>114</v>
      </c>
      <c r="B97" s="87" t="s">
        <v>115</v>
      </c>
      <c r="C97" s="87"/>
      <c r="D97" s="87"/>
      <c r="E97" s="87"/>
      <c r="F97" s="87"/>
      <c r="G97" s="87"/>
      <c r="H97" s="87" t="s">
        <v>116</v>
      </c>
      <c r="I97" s="87"/>
      <c r="J97" s="87"/>
      <c r="K97" s="87"/>
      <c r="L97" s="87"/>
      <c r="M97" s="2"/>
      <c r="N97" s="2"/>
      <c r="O97" s="2"/>
      <c r="P97" s="2"/>
      <c r="Q97" s="2"/>
      <c r="R97" s="2"/>
      <c r="S97" s="2"/>
      <c r="T97" s="2"/>
      <c r="U97" s="2"/>
      <c r="V97" s="2"/>
      <c r="W97" s="2"/>
      <c r="X97" s="3"/>
      <c r="Y97" s="3"/>
      <c r="Z97" s="3"/>
      <c r="AA97" s="3"/>
      <c r="AB97" s="3"/>
      <c r="AC97" s="3"/>
      <c r="AD97" s="3"/>
      <c r="AE97" s="3"/>
      <c r="AF97" s="3"/>
      <c r="AG97" s="3"/>
    </row>
    <row r="98" spans="1:33" x14ac:dyDescent="0.35">
      <c r="A98" s="120"/>
      <c r="B98" s="121" t="s">
        <v>117</v>
      </c>
      <c r="C98" s="121"/>
      <c r="D98" s="121"/>
      <c r="E98" s="121"/>
      <c r="F98" s="121"/>
      <c r="G98" s="121"/>
      <c r="H98" s="121"/>
      <c r="I98" s="121"/>
      <c r="J98" s="121"/>
      <c r="K98" s="121"/>
      <c r="L98" s="121"/>
      <c r="M98" s="2"/>
      <c r="N98" s="2"/>
      <c r="O98" s="2"/>
      <c r="P98" s="2"/>
      <c r="Q98" s="2"/>
      <c r="R98" s="2"/>
      <c r="S98" s="2"/>
      <c r="T98" s="2"/>
      <c r="U98" s="2"/>
      <c r="V98" s="2"/>
      <c r="W98" s="2"/>
      <c r="X98" s="3"/>
      <c r="Y98" s="3"/>
      <c r="Z98" s="3"/>
      <c r="AA98" s="3"/>
      <c r="AB98" s="3"/>
      <c r="AC98" s="3"/>
      <c r="AD98" s="3"/>
      <c r="AE98" s="3"/>
      <c r="AF98" s="3"/>
      <c r="AG98" s="3"/>
    </row>
    <row r="99" spans="1:33" x14ac:dyDescent="0.35">
      <c r="A99" s="122" t="s">
        <v>118</v>
      </c>
      <c r="B99" s="122"/>
      <c r="C99" s="122"/>
      <c r="D99" s="122"/>
      <c r="E99" s="122"/>
      <c r="F99" s="122"/>
      <c r="G99" s="122"/>
      <c r="H99" s="122"/>
      <c r="I99" s="122"/>
      <c r="J99" s="122"/>
      <c r="K99" s="122"/>
      <c r="L99" s="122"/>
      <c r="M99" s="2"/>
      <c r="N99" s="2"/>
      <c r="O99" s="2"/>
      <c r="P99" s="2"/>
      <c r="Q99" s="2"/>
      <c r="R99" s="2"/>
      <c r="S99" s="2"/>
      <c r="T99" s="2"/>
      <c r="U99" s="2"/>
      <c r="V99" s="2"/>
      <c r="W99" s="2"/>
      <c r="X99" s="3"/>
      <c r="Y99" s="3"/>
      <c r="Z99" s="3"/>
      <c r="AA99" s="3"/>
      <c r="AB99" s="3"/>
      <c r="AC99" s="3"/>
      <c r="AD99" s="3"/>
      <c r="AE99" s="3"/>
      <c r="AF99" s="3"/>
      <c r="AG99" s="3"/>
    </row>
    <row r="100" spans="1:33" ht="12" customHeight="1" x14ac:dyDescent="0.35">
      <c r="A100" s="122"/>
      <c r="B100" s="122"/>
      <c r="C100" s="122"/>
      <c r="D100" s="122"/>
      <c r="E100" s="122"/>
      <c r="F100" s="122"/>
      <c r="G100" s="122"/>
      <c r="H100" s="122"/>
      <c r="I100" s="122"/>
      <c r="J100" s="122"/>
      <c r="K100" s="122"/>
      <c r="L100" s="122"/>
      <c r="M100" s="2"/>
      <c r="N100" s="2"/>
      <c r="O100" s="2"/>
      <c r="P100" s="2"/>
      <c r="Q100" s="2"/>
      <c r="R100" s="2"/>
      <c r="S100" s="2"/>
      <c r="T100" s="2"/>
      <c r="U100" s="2"/>
      <c r="V100" s="2"/>
      <c r="W100" s="2"/>
      <c r="X100" s="3"/>
      <c r="Y100" s="3"/>
      <c r="Z100" s="3"/>
      <c r="AA100" s="3"/>
      <c r="AB100" s="3"/>
      <c r="AC100" s="3"/>
      <c r="AD100" s="3"/>
      <c r="AE100" s="3"/>
      <c r="AF100" s="3"/>
      <c r="AG100" s="3"/>
    </row>
    <row r="101" spans="1:33" ht="46.5" customHeight="1" x14ac:dyDescent="0.35">
      <c r="A101" s="123" t="s">
        <v>119</v>
      </c>
      <c r="B101" s="124"/>
      <c r="C101" s="124"/>
      <c r="D101" s="124"/>
      <c r="E101" s="124"/>
      <c r="F101" s="124"/>
      <c r="G101" s="124"/>
      <c r="H101" s="124"/>
      <c r="I101" s="124"/>
      <c r="J101" s="124"/>
      <c r="K101" s="124"/>
      <c r="L101" s="124"/>
      <c r="M101" s="2"/>
      <c r="N101" s="2"/>
      <c r="O101" s="2"/>
      <c r="P101" s="2"/>
      <c r="Q101" s="2"/>
      <c r="R101" s="2"/>
      <c r="S101" s="2"/>
      <c r="T101" s="2"/>
      <c r="U101" s="2"/>
      <c r="V101" s="2"/>
      <c r="W101" s="2"/>
      <c r="X101" s="3"/>
      <c r="Y101" s="3"/>
      <c r="Z101" s="3"/>
      <c r="AA101" s="3"/>
      <c r="AB101" s="3"/>
      <c r="AC101" s="3"/>
      <c r="AD101" s="3"/>
      <c r="AE101" s="3"/>
      <c r="AF101" s="3"/>
      <c r="AG101" s="3"/>
    </row>
    <row r="102" spans="1:33" ht="35.25" customHeight="1" x14ac:dyDescent="0.35">
      <c r="A102" s="125" t="s">
        <v>120</v>
      </c>
      <c r="B102" s="87" t="s">
        <v>121</v>
      </c>
      <c r="C102" s="87"/>
      <c r="D102" s="87"/>
      <c r="E102" s="87"/>
      <c r="F102" s="87"/>
      <c r="G102" s="87"/>
      <c r="H102" s="87"/>
      <c r="I102" s="87"/>
      <c r="J102" s="87"/>
      <c r="K102" s="87"/>
      <c r="L102" s="87"/>
      <c r="M102" s="2"/>
      <c r="N102" s="2"/>
      <c r="O102" s="2"/>
      <c r="P102" s="2"/>
      <c r="Q102" s="2"/>
      <c r="R102" s="2"/>
      <c r="S102" s="2"/>
      <c r="T102" s="2"/>
      <c r="U102" s="2"/>
      <c r="V102" s="2"/>
      <c r="W102" s="2"/>
      <c r="X102" s="3"/>
      <c r="Y102" s="3"/>
      <c r="Z102" s="3"/>
      <c r="AA102" s="3"/>
      <c r="AB102" s="3"/>
      <c r="AC102" s="3"/>
      <c r="AD102" s="3"/>
      <c r="AE102" s="3"/>
      <c r="AF102" s="3"/>
      <c r="AG102" s="3"/>
    </row>
    <row r="103" spans="1:33" ht="30.75" customHeight="1" x14ac:dyDescent="0.35">
      <c r="A103" s="126"/>
      <c r="B103" s="87" t="s">
        <v>122</v>
      </c>
      <c r="C103" s="87"/>
      <c r="D103" s="87"/>
      <c r="E103" s="87"/>
      <c r="F103" s="87"/>
      <c r="G103" s="87"/>
      <c r="H103" s="87"/>
      <c r="I103" s="87"/>
      <c r="J103" s="87"/>
      <c r="K103" s="87"/>
      <c r="L103" s="87"/>
      <c r="M103" s="2"/>
      <c r="N103" s="2"/>
      <c r="O103" s="2"/>
      <c r="P103" s="2"/>
      <c r="Q103" s="2"/>
      <c r="R103" s="2"/>
      <c r="S103" s="2"/>
      <c r="T103" s="2"/>
      <c r="U103" s="2"/>
      <c r="V103" s="2"/>
      <c r="W103" s="2"/>
      <c r="X103" s="3"/>
      <c r="Y103" s="3"/>
      <c r="Z103" s="3"/>
      <c r="AA103" s="3"/>
      <c r="AB103" s="3"/>
      <c r="AC103" s="3"/>
      <c r="AD103" s="3"/>
      <c r="AE103" s="3"/>
      <c r="AF103" s="3"/>
      <c r="AG103" s="3"/>
    </row>
    <row r="104" spans="1:33" ht="15" customHeight="1" x14ac:dyDescent="0.35">
      <c r="A104" s="126"/>
      <c r="B104" s="87" t="s">
        <v>123</v>
      </c>
      <c r="C104" s="87"/>
      <c r="D104" s="87"/>
      <c r="E104" s="87"/>
      <c r="F104" s="87"/>
      <c r="G104" s="87"/>
      <c r="H104" s="87"/>
      <c r="I104" s="87"/>
      <c r="J104" s="87"/>
      <c r="K104" s="87"/>
      <c r="L104" s="87"/>
      <c r="M104" s="2"/>
      <c r="N104" s="2"/>
      <c r="O104" s="2"/>
      <c r="P104" s="2"/>
      <c r="Q104" s="2"/>
      <c r="R104" s="2"/>
      <c r="S104" s="2"/>
      <c r="T104" s="2"/>
      <c r="U104" s="2"/>
      <c r="V104" s="2"/>
      <c r="W104" s="2"/>
      <c r="X104" s="3"/>
      <c r="Y104" s="3"/>
      <c r="Z104" s="3"/>
      <c r="AA104" s="3"/>
      <c r="AB104" s="3"/>
      <c r="AC104" s="3"/>
      <c r="AD104" s="3"/>
      <c r="AE104" s="3"/>
      <c r="AF104" s="3"/>
      <c r="AG104" s="3"/>
    </row>
    <row r="105" spans="1:33" x14ac:dyDescent="0.35">
      <c r="A105" s="127"/>
      <c r="B105" s="87"/>
      <c r="C105" s="87"/>
      <c r="D105" s="87"/>
      <c r="E105" s="87"/>
      <c r="F105" s="87"/>
      <c r="G105" s="87"/>
      <c r="H105" s="87"/>
      <c r="I105" s="87"/>
      <c r="J105" s="87"/>
      <c r="K105" s="87"/>
      <c r="L105" s="87"/>
      <c r="M105" s="2"/>
      <c r="N105" s="2"/>
      <c r="O105" s="2"/>
      <c r="P105" s="2"/>
      <c r="Q105" s="2"/>
      <c r="R105" s="2"/>
      <c r="S105" s="2"/>
      <c r="T105" s="2"/>
      <c r="U105" s="2"/>
      <c r="V105" s="2"/>
      <c r="W105" s="2"/>
      <c r="X105" s="3"/>
      <c r="Y105" s="3"/>
      <c r="Z105" s="3"/>
      <c r="AA105" s="3"/>
      <c r="AB105" s="3"/>
      <c r="AC105" s="3"/>
      <c r="AD105" s="3"/>
      <c r="AE105" s="3"/>
      <c r="AF105" s="3"/>
      <c r="AG105" s="3"/>
    </row>
    <row r="106" spans="1:33" ht="42" customHeight="1" x14ac:dyDescent="0.35">
      <c r="A106" s="50" t="s">
        <v>124</v>
      </c>
      <c r="B106" s="128" t="s">
        <v>125</v>
      </c>
      <c r="C106" s="129"/>
      <c r="D106" s="129"/>
      <c r="E106" s="129"/>
      <c r="F106" s="129"/>
      <c r="G106" s="129"/>
      <c r="H106" s="129"/>
      <c r="I106" s="129"/>
      <c r="J106" s="129"/>
      <c r="K106" s="129"/>
      <c r="L106" s="129"/>
      <c r="M106" s="2"/>
      <c r="N106" s="2"/>
      <c r="O106" s="2"/>
      <c r="P106" s="2"/>
      <c r="Q106" s="2"/>
      <c r="R106" s="2"/>
      <c r="S106" s="2"/>
      <c r="T106" s="2"/>
      <c r="U106" s="2"/>
      <c r="V106" s="2"/>
      <c r="W106" s="2"/>
      <c r="X106" s="3"/>
      <c r="Y106" s="3"/>
      <c r="Z106" s="3"/>
      <c r="AA106" s="3"/>
      <c r="AB106" s="3"/>
      <c r="AC106" s="3"/>
      <c r="AD106" s="3"/>
      <c r="AE106" s="3"/>
      <c r="AF106" s="3"/>
      <c r="AG106" s="3"/>
    </row>
    <row r="107" spans="1:33" ht="47.25" customHeight="1" x14ac:dyDescent="0.35">
      <c r="A107" s="130" t="s">
        <v>7</v>
      </c>
      <c r="B107" s="130" t="s">
        <v>7</v>
      </c>
      <c r="C107" s="130"/>
      <c r="D107" s="130"/>
      <c r="E107" s="130"/>
      <c r="F107" s="130"/>
      <c r="G107" s="130"/>
      <c r="H107" s="130"/>
      <c r="I107" s="130"/>
      <c r="J107" s="130"/>
      <c r="K107" s="130"/>
      <c r="L107" s="130"/>
      <c r="M107" s="2"/>
      <c r="N107" s="2"/>
      <c r="O107" s="2"/>
      <c r="P107" s="2"/>
      <c r="Q107" s="2"/>
      <c r="R107" s="2"/>
      <c r="S107" s="2"/>
      <c r="T107" s="2"/>
      <c r="U107" s="2"/>
      <c r="V107" s="2"/>
      <c r="W107" s="2"/>
      <c r="X107" s="3"/>
      <c r="Y107" s="3"/>
      <c r="Z107" s="3"/>
      <c r="AA107" s="3"/>
      <c r="AB107" s="3"/>
      <c r="AC107" s="3"/>
      <c r="AD107" s="3"/>
      <c r="AE107" s="3"/>
      <c r="AF107" s="3"/>
      <c r="AG107" s="3"/>
    </row>
    <row r="108" spans="1:33" x14ac:dyDescent="0.35">
      <c r="A108" s="131"/>
      <c r="B108" s="130"/>
      <c r="C108" s="130"/>
      <c r="D108" s="130"/>
      <c r="E108" s="130"/>
      <c r="F108" s="130"/>
      <c r="G108" s="130"/>
      <c r="H108" s="130"/>
      <c r="I108" s="130"/>
      <c r="J108" s="130"/>
      <c r="K108" s="130"/>
      <c r="L108" s="130"/>
      <c r="M108" s="2"/>
      <c r="N108" s="2"/>
      <c r="O108" s="2"/>
      <c r="P108" s="2"/>
      <c r="Q108" s="2"/>
      <c r="R108" s="2"/>
      <c r="S108" s="2"/>
      <c r="T108" s="2"/>
      <c r="U108" s="2"/>
      <c r="V108" s="2"/>
      <c r="W108" s="2"/>
      <c r="X108" s="3"/>
      <c r="Y108" s="3"/>
      <c r="Z108" s="3"/>
      <c r="AA108" s="3"/>
      <c r="AB108" s="3"/>
      <c r="AC108" s="3"/>
      <c r="AD108" s="3"/>
      <c r="AE108" s="3"/>
      <c r="AF108" s="3"/>
      <c r="AG108" s="3"/>
    </row>
    <row r="109" spans="1:33" x14ac:dyDescent="0.35">
      <c r="A109" s="131"/>
      <c r="B109" s="130"/>
      <c r="C109" s="130"/>
      <c r="D109" s="130"/>
      <c r="E109" s="130"/>
      <c r="F109" s="130"/>
      <c r="G109" s="130"/>
      <c r="H109" s="130"/>
      <c r="I109" s="130"/>
      <c r="J109" s="130"/>
      <c r="K109" s="130"/>
      <c r="L109" s="130"/>
      <c r="M109" s="2"/>
      <c r="N109" s="2"/>
      <c r="O109" s="2"/>
      <c r="P109" s="2"/>
      <c r="Q109" s="2"/>
      <c r="R109" s="2"/>
      <c r="S109" s="2"/>
      <c r="T109" s="2"/>
      <c r="U109" s="2"/>
      <c r="V109" s="2"/>
      <c r="W109" s="2"/>
      <c r="X109" s="3"/>
      <c r="Y109" s="3"/>
      <c r="Z109" s="3"/>
      <c r="AA109" s="3"/>
      <c r="AB109" s="3"/>
      <c r="AC109" s="3"/>
      <c r="AD109" s="3"/>
      <c r="AE109" s="3"/>
      <c r="AF109" s="3"/>
      <c r="AG109" s="3"/>
    </row>
    <row r="110" spans="1:33" x14ac:dyDescent="0.35">
      <c r="A110" s="131"/>
      <c r="B110" s="130"/>
      <c r="C110" s="130"/>
      <c r="D110" s="130"/>
      <c r="E110" s="130"/>
      <c r="F110" s="130"/>
      <c r="G110" s="130"/>
      <c r="H110" s="130"/>
      <c r="I110" s="130"/>
      <c r="J110" s="130"/>
      <c r="K110" s="130"/>
      <c r="L110" s="130"/>
      <c r="M110" s="2"/>
      <c r="N110" s="2"/>
      <c r="O110" s="2"/>
      <c r="P110" s="2"/>
      <c r="Q110" s="2"/>
      <c r="R110" s="2"/>
      <c r="S110" s="2"/>
      <c r="T110" s="2"/>
      <c r="U110" s="2"/>
      <c r="V110" s="2"/>
      <c r="W110" s="2"/>
      <c r="X110" s="3"/>
      <c r="Y110" s="3"/>
      <c r="Z110" s="3"/>
      <c r="AA110" s="3"/>
      <c r="AB110" s="3"/>
      <c r="AC110" s="3"/>
      <c r="AD110" s="3"/>
      <c r="AE110" s="3"/>
      <c r="AF110" s="3"/>
      <c r="AG110" s="3"/>
    </row>
    <row r="111" spans="1:33" x14ac:dyDescent="0.35">
      <c r="A111" s="131"/>
      <c r="B111" s="130"/>
      <c r="C111" s="130"/>
      <c r="D111" s="130"/>
      <c r="E111" s="130"/>
      <c r="F111" s="130"/>
      <c r="G111" s="130"/>
      <c r="H111" s="130"/>
      <c r="I111" s="130"/>
      <c r="J111" s="130"/>
      <c r="K111" s="130"/>
      <c r="L111" s="130"/>
      <c r="M111" s="2"/>
      <c r="N111" s="2"/>
      <c r="O111" s="2"/>
      <c r="P111" s="2"/>
      <c r="Q111" s="2"/>
      <c r="R111" s="2"/>
      <c r="S111" s="2"/>
      <c r="T111" s="2"/>
      <c r="U111" s="2"/>
      <c r="V111" s="2"/>
      <c r="W111" s="2"/>
      <c r="X111" s="3"/>
      <c r="Y111" s="3"/>
      <c r="Z111" s="3"/>
      <c r="AA111" s="3"/>
      <c r="AB111" s="3"/>
      <c r="AC111" s="3"/>
      <c r="AD111" s="3"/>
      <c r="AE111" s="3"/>
      <c r="AF111" s="3"/>
      <c r="AG111" s="3"/>
    </row>
    <row r="112" spans="1:33" x14ac:dyDescent="0.35">
      <c r="A112" s="131"/>
      <c r="B112" s="130"/>
      <c r="C112" s="130"/>
      <c r="D112" s="130"/>
      <c r="E112" s="130"/>
      <c r="F112" s="130"/>
      <c r="G112" s="130"/>
      <c r="H112" s="130"/>
      <c r="I112" s="130"/>
      <c r="J112" s="130"/>
      <c r="K112" s="130"/>
      <c r="L112" s="130"/>
      <c r="M112" s="2"/>
      <c r="N112" s="2"/>
      <c r="O112" s="2"/>
      <c r="P112" s="2"/>
      <c r="Q112" s="2"/>
      <c r="R112" s="2"/>
      <c r="S112" s="2"/>
      <c r="T112" s="2"/>
      <c r="U112" s="2"/>
      <c r="V112" s="2"/>
      <c r="W112" s="2"/>
      <c r="X112" s="3"/>
      <c r="Y112" s="3"/>
      <c r="Z112" s="3"/>
      <c r="AA112" s="3"/>
      <c r="AB112" s="3"/>
      <c r="AC112" s="3"/>
      <c r="AD112" s="3"/>
      <c r="AE112" s="3"/>
      <c r="AF112" s="3"/>
      <c r="AG112" s="3"/>
    </row>
    <row r="113" spans="1:33" x14ac:dyDescent="0.35">
      <c r="A113" s="132"/>
      <c r="B113" s="132"/>
      <c r="C113" s="132"/>
      <c r="D113" s="132"/>
      <c r="E113" s="132"/>
      <c r="F113" s="132"/>
      <c r="G113" s="132"/>
      <c r="H113" s="132"/>
      <c r="I113" s="132"/>
      <c r="J113" s="132"/>
      <c r="K113" s="132"/>
      <c r="L113" s="132"/>
      <c r="M113" s="2"/>
      <c r="N113" s="2"/>
      <c r="O113" s="2"/>
      <c r="P113" s="2"/>
      <c r="Q113" s="2"/>
      <c r="R113" s="2"/>
      <c r="S113" s="2"/>
      <c r="T113" s="2"/>
      <c r="U113" s="2"/>
      <c r="V113" s="2"/>
      <c r="W113" s="2"/>
      <c r="X113" s="3"/>
      <c r="Y113" s="3"/>
      <c r="Z113" s="3"/>
      <c r="AA113" s="3"/>
      <c r="AB113" s="3"/>
      <c r="AC113" s="3"/>
      <c r="AD113" s="3"/>
      <c r="AE113" s="3"/>
      <c r="AF113" s="3"/>
      <c r="AG113" s="3"/>
    </row>
    <row r="114" spans="1:33" x14ac:dyDescent="0.35">
      <c r="A114" s="119" t="s">
        <v>126</v>
      </c>
      <c r="B114" s="119"/>
      <c r="C114" s="119"/>
      <c r="D114" s="119"/>
      <c r="E114" s="119"/>
      <c r="F114" s="119"/>
      <c r="G114" s="119"/>
      <c r="H114" s="119"/>
      <c r="I114" s="119"/>
      <c r="J114" s="119"/>
      <c r="K114" s="119"/>
      <c r="L114" s="119"/>
      <c r="M114" s="2"/>
      <c r="N114" s="2"/>
      <c r="O114" s="2"/>
      <c r="P114" s="2"/>
      <c r="Q114" s="2"/>
      <c r="R114" s="2"/>
      <c r="S114" s="2"/>
      <c r="T114" s="2"/>
      <c r="U114" s="2"/>
      <c r="V114" s="2"/>
      <c r="W114" s="2"/>
      <c r="X114" s="3"/>
      <c r="Y114" s="3"/>
      <c r="Z114" s="3"/>
      <c r="AA114" s="3"/>
      <c r="AB114" s="3"/>
      <c r="AC114" s="3"/>
      <c r="AD114" s="3"/>
      <c r="AE114" s="3"/>
      <c r="AF114" s="3"/>
      <c r="AG114" s="3"/>
    </row>
    <row r="115" spans="1:33" x14ac:dyDescent="0.35">
      <c r="A115" s="119"/>
      <c r="B115" s="119"/>
      <c r="C115" s="119"/>
      <c r="D115" s="119"/>
      <c r="E115" s="119"/>
      <c r="F115" s="119"/>
      <c r="G115" s="119"/>
      <c r="H115" s="119"/>
      <c r="I115" s="119"/>
      <c r="J115" s="119"/>
      <c r="K115" s="119"/>
      <c r="L115" s="119"/>
      <c r="M115" s="2"/>
      <c r="N115" s="2"/>
      <c r="O115" s="2"/>
      <c r="P115" s="2"/>
      <c r="Q115" s="2"/>
      <c r="R115" s="2"/>
      <c r="S115" s="2"/>
      <c r="T115" s="2"/>
      <c r="U115" s="2"/>
      <c r="V115" s="2"/>
      <c r="W115" s="2"/>
      <c r="X115" s="3"/>
      <c r="Y115" s="3"/>
      <c r="Z115" s="3"/>
      <c r="AA115" s="3"/>
      <c r="AB115" s="3"/>
      <c r="AC115" s="3"/>
      <c r="AD115" s="3"/>
      <c r="AE115" s="3"/>
      <c r="AF115" s="3"/>
      <c r="AG115" s="3"/>
    </row>
    <row r="116" spans="1:33" x14ac:dyDescent="0.35">
      <c r="A116" s="119"/>
      <c r="B116" s="119"/>
      <c r="C116" s="119"/>
      <c r="D116" s="119"/>
      <c r="E116" s="119"/>
      <c r="F116" s="119"/>
      <c r="G116" s="119"/>
      <c r="H116" s="119"/>
      <c r="I116" s="119"/>
      <c r="J116" s="119"/>
      <c r="K116" s="119"/>
      <c r="L116" s="119"/>
      <c r="M116" s="2"/>
      <c r="N116" s="2"/>
      <c r="O116" s="2"/>
      <c r="P116" s="2"/>
      <c r="Q116" s="2"/>
      <c r="R116" s="2"/>
      <c r="S116" s="2"/>
      <c r="T116" s="2"/>
      <c r="U116" s="2"/>
      <c r="V116" s="2"/>
      <c r="W116" s="2"/>
      <c r="X116" s="3"/>
      <c r="Y116" s="3"/>
      <c r="Z116" s="3"/>
      <c r="AA116" s="3"/>
      <c r="AB116" s="3"/>
      <c r="AC116" s="3"/>
      <c r="AD116" s="3"/>
      <c r="AE116" s="3"/>
      <c r="AF116" s="3"/>
      <c r="AG116" s="3"/>
    </row>
    <row r="117" spans="1:33" ht="27.75" customHeight="1" x14ac:dyDescent="0.35">
      <c r="A117" s="51" t="s">
        <v>127</v>
      </c>
      <c r="B117" s="65" t="s">
        <v>128</v>
      </c>
      <c r="C117" s="65"/>
      <c r="D117" s="65"/>
      <c r="E117" s="65"/>
      <c r="F117" s="65"/>
      <c r="G117" s="65"/>
      <c r="H117" s="65"/>
      <c r="I117" s="65"/>
      <c r="J117" s="65"/>
      <c r="K117" s="65"/>
      <c r="L117" s="65"/>
      <c r="M117" s="2"/>
      <c r="N117" s="2"/>
      <c r="O117" s="2"/>
      <c r="P117" s="2"/>
      <c r="Q117" s="2"/>
      <c r="R117" s="2"/>
      <c r="S117" s="2"/>
      <c r="T117" s="2"/>
      <c r="U117" s="2"/>
      <c r="V117" s="2"/>
      <c r="W117" s="2"/>
      <c r="X117" s="3"/>
      <c r="Y117" s="3"/>
      <c r="Z117" s="3"/>
      <c r="AA117" s="3"/>
      <c r="AB117" s="3"/>
      <c r="AC117" s="3"/>
      <c r="AD117" s="3"/>
      <c r="AE117" s="3"/>
      <c r="AF117" s="3"/>
      <c r="AG117" s="3"/>
    </row>
    <row r="118" spans="1:33" ht="35.25" customHeight="1" x14ac:dyDescent="0.35">
      <c r="A118" s="51" t="s">
        <v>129</v>
      </c>
      <c r="B118" s="65" t="s">
        <v>130</v>
      </c>
      <c r="C118" s="65"/>
      <c r="D118" s="65"/>
      <c r="E118" s="65"/>
      <c r="F118" s="65"/>
      <c r="G118" s="65"/>
      <c r="H118" s="65"/>
      <c r="I118" s="65"/>
      <c r="J118" s="65"/>
      <c r="K118" s="65"/>
      <c r="L118" s="65"/>
      <c r="M118" s="2"/>
      <c r="N118" s="2"/>
      <c r="O118" s="2"/>
      <c r="P118" s="2"/>
      <c r="Q118" s="2"/>
      <c r="R118" s="2"/>
      <c r="S118" s="2"/>
      <c r="T118" s="2"/>
      <c r="U118" s="2"/>
      <c r="V118" s="2"/>
      <c r="W118" s="2"/>
      <c r="X118" s="3"/>
      <c r="Y118" s="3"/>
      <c r="Z118" s="3"/>
      <c r="AA118" s="3"/>
      <c r="AB118" s="3"/>
      <c r="AC118" s="3"/>
      <c r="AD118" s="3"/>
      <c r="AE118" s="3"/>
      <c r="AF118" s="3"/>
      <c r="AG118" s="3"/>
    </row>
    <row r="119" spans="1:33" ht="27" customHeight="1" x14ac:dyDescent="0.35">
      <c r="A119" s="51" t="s">
        <v>131</v>
      </c>
      <c r="B119" s="65" t="s">
        <v>132</v>
      </c>
      <c r="C119" s="65"/>
      <c r="D119" s="65"/>
      <c r="E119" s="65"/>
      <c r="F119" s="65"/>
      <c r="G119" s="65"/>
      <c r="H119" s="65"/>
      <c r="I119" s="65"/>
      <c r="J119" s="65"/>
      <c r="K119" s="65"/>
      <c r="L119" s="65"/>
      <c r="M119" s="2"/>
      <c r="N119" s="2"/>
      <c r="O119" s="2"/>
      <c r="P119" s="2"/>
      <c r="Q119" s="2"/>
      <c r="R119" s="2"/>
      <c r="S119" s="2"/>
      <c r="T119" s="2"/>
      <c r="U119" s="2"/>
      <c r="V119" s="2"/>
      <c r="W119" s="2"/>
      <c r="X119" s="3"/>
      <c r="Y119" s="3"/>
      <c r="Z119" s="3"/>
      <c r="AA119" s="3"/>
      <c r="AB119" s="3"/>
      <c r="AC119" s="3"/>
      <c r="AD119" s="3"/>
      <c r="AE119" s="3"/>
      <c r="AF119" s="3"/>
      <c r="AG119" s="3"/>
    </row>
    <row r="120" spans="1:33" ht="30.75" customHeight="1" x14ac:dyDescent="0.35">
      <c r="A120" s="51" t="s">
        <v>133</v>
      </c>
      <c r="B120" s="65" t="s">
        <v>134</v>
      </c>
      <c r="C120" s="65"/>
      <c r="D120" s="65"/>
      <c r="E120" s="65"/>
      <c r="F120" s="65"/>
      <c r="G120" s="65"/>
      <c r="H120" s="65"/>
      <c r="I120" s="65"/>
      <c r="J120" s="65"/>
      <c r="K120" s="65"/>
      <c r="L120" s="65"/>
      <c r="M120" s="2"/>
      <c r="N120" s="2"/>
      <c r="O120" s="2"/>
      <c r="P120" s="2"/>
      <c r="Q120" s="2"/>
      <c r="R120" s="2"/>
      <c r="S120" s="2"/>
      <c r="T120" s="2"/>
      <c r="U120" s="2"/>
      <c r="V120" s="2"/>
      <c r="W120" s="2"/>
      <c r="X120" s="3"/>
      <c r="Y120" s="3"/>
      <c r="Z120" s="3"/>
      <c r="AA120" s="3"/>
      <c r="AB120" s="3"/>
      <c r="AC120" s="3"/>
      <c r="AD120" s="3"/>
      <c r="AE120" s="3"/>
      <c r="AF120" s="3"/>
      <c r="AG120" s="3"/>
    </row>
    <row r="121" spans="1:33" ht="28.5" customHeight="1" x14ac:dyDescent="0.35">
      <c r="A121" s="51" t="s">
        <v>135</v>
      </c>
      <c r="B121" s="65" t="s">
        <v>136</v>
      </c>
      <c r="C121" s="65"/>
      <c r="D121" s="65"/>
      <c r="E121" s="65"/>
      <c r="F121" s="65"/>
      <c r="G121" s="65"/>
      <c r="H121" s="65"/>
      <c r="I121" s="65"/>
      <c r="J121" s="65"/>
      <c r="K121" s="65"/>
      <c r="L121" s="65"/>
      <c r="M121" s="2"/>
      <c r="N121" s="2"/>
      <c r="O121" s="2"/>
      <c r="P121" s="2"/>
      <c r="Q121" s="2"/>
      <c r="R121" s="2"/>
      <c r="S121" s="2"/>
      <c r="T121" s="2"/>
      <c r="U121" s="2"/>
      <c r="V121" s="2"/>
      <c r="W121" s="2"/>
      <c r="X121" s="3"/>
      <c r="Y121" s="3"/>
      <c r="Z121" s="3"/>
      <c r="AA121" s="3"/>
      <c r="AB121" s="3"/>
      <c r="AC121" s="3"/>
      <c r="AD121" s="3"/>
      <c r="AE121" s="3"/>
      <c r="AF121" s="3"/>
      <c r="AG121" s="3"/>
    </row>
    <row r="122" spans="1:33" ht="24.75" customHeight="1" x14ac:dyDescent="0.35">
      <c r="A122" s="51" t="s">
        <v>137</v>
      </c>
      <c r="B122" s="65" t="s">
        <v>138</v>
      </c>
      <c r="C122" s="65"/>
      <c r="D122" s="65"/>
      <c r="E122" s="65"/>
      <c r="F122" s="65"/>
      <c r="G122" s="65"/>
      <c r="H122" s="65"/>
      <c r="I122" s="65"/>
      <c r="J122" s="65"/>
      <c r="K122" s="65"/>
      <c r="L122" s="65"/>
      <c r="M122" s="2"/>
      <c r="N122" s="2"/>
      <c r="O122" s="2"/>
      <c r="P122" s="2"/>
      <c r="Q122" s="2"/>
      <c r="R122" s="2"/>
      <c r="S122" s="2"/>
      <c r="T122" s="2"/>
      <c r="U122" s="2"/>
      <c r="V122" s="2"/>
      <c r="W122" s="2"/>
      <c r="X122" s="3"/>
      <c r="Y122" s="3"/>
      <c r="Z122" s="3"/>
      <c r="AA122" s="3"/>
      <c r="AB122" s="3"/>
      <c r="AC122" s="3"/>
      <c r="AD122" s="3"/>
      <c r="AE122" s="3"/>
      <c r="AF122" s="3"/>
      <c r="AG122" s="3"/>
    </row>
    <row r="123" spans="1:33" ht="36" customHeight="1" x14ac:dyDescent="0.35">
      <c r="A123" s="51" t="s">
        <v>139</v>
      </c>
      <c r="B123" s="65" t="s">
        <v>140</v>
      </c>
      <c r="C123" s="65"/>
      <c r="D123" s="65"/>
      <c r="E123" s="65"/>
      <c r="F123" s="65"/>
      <c r="G123" s="65"/>
      <c r="H123" s="65"/>
      <c r="I123" s="65"/>
      <c r="J123" s="65"/>
      <c r="K123" s="65"/>
      <c r="L123" s="65"/>
      <c r="M123" s="2"/>
      <c r="N123" s="2"/>
      <c r="O123" s="2"/>
      <c r="P123" s="2"/>
      <c r="Q123" s="2"/>
      <c r="R123" s="2"/>
      <c r="S123" s="2"/>
      <c r="T123" s="2"/>
      <c r="U123" s="2"/>
      <c r="V123" s="2"/>
      <c r="W123" s="2"/>
      <c r="X123" s="3"/>
      <c r="Y123" s="3"/>
      <c r="Z123" s="3"/>
      <c r="AA123" s="3"/>
      <c r="AB123" s="3"/>
      <c r="AC123" s="3"/>
      <c r="AD123" s="3"/>
      <c r="AE123" s="3"/>
      <c r="AF123" s="3"/>
      <c r="AG123" s="3"/>
    </row>
    <row r="124" spans="1:33" ht="51" customHeight="1" x14ac:dyDescent="0.35">
      <c r="A124" s="51" t="s">
        <v>141</v>
      </c>
      <c r="B124" s="65" t="s">
        <v>142</v>
      </c>
      <c r="C124" s="65"/>
      <c r="D124" s="65"/>
      <c r="E124" s="65"/>
      <c r="F124" s="65"/>
      <c r="G124" s="65"/>
      <c r="H124" s="65"/>
      <c r="I124" s="65"/>
      <c r="J124" s="65"/>
      <c r="K124" s="65"/>
      <c r="L124" s="65"/>
      <c r="M124" s="2"/>
      <c r="N124" s="2"/>
      <c r="O124" s="2"/>
      <c r="P124" s="2"/>
      <c r="Q124" s="2"/>
      <c r="R124" s="2"/>
      <c r="S124" s="2"/>
      <c r="T124" s="2"/>
      <c r="U124" s="2"/>
      <c r="V124" s="2"/>
      <c r="W124" s="2"/>
      <c r="X124" s="3"/>
      <c r="Y124" s="3"/>
      <c r="Z124" s="3"/>
      <c r="AA124" s="3"/>
      <c r="AB124" s="3"/>
      <c r="AC124" s="3"/>
      <c r="AD124" s="3"/>
      <c r="AE124" s="3"/>
      <c r="AF124" s="3"/>
      <c r="AG124" s="3"/>
    </row>
    <row r="125" spans="1:33" ht="38.25" customHeight="1" x14ac:dyDescent="0.35">
      <c r="A125" s="51" t="s">
        <v>143</v>
      </c>
      <c r="B125" s="65" t="s">
        <v>144</v>
      </c>
      <c r="C125" s="65"/>
      <c r="D125" s="65"/>
      <c r="E125" s="65"/>
      <c r="F125" s="65"/>
      <c r="G125" s="65"/>
      <c r="H125" s="65"/>
      <c r="I125" s="65"/>
      <c r="J125" s="65"/>
      <c r="K125" s="65"/>
      <c r="L125" s="65"/>
      <c r="M125" s="2"/>
      <c r="N125" s="2"/>
      <c r="O125" s="2"/>
      <c r="P125" s="2"/>
      <c r="Q125" s="2"/>
      <c r="R125" s="2"/>
      <c r="S125" s="2"/>
      <c r="T125" s="2"/>
      <c r="U125" s="2"/>
      <c r="V125" s="2"/>
      <c r="W125" s="2"/>
      <c r="X125" s="3"/>
      <c r="Y125" s="3"/>
      <c r="Z125" s="3"/>
      <c r="AA125" s="3"/>
      <c r="AB125" s="3"/>
      <c r="AC125" s="3"/>
      <c r="AD125" s="3"/>
      <c r="AE125" s="3"/>
      <c r="AF125" s="3"/>
      <c r="AG125" s="3"/>
    </row>
    <row r="126" spans="1:33" ht="44.25" customHeight="1" x14ac:dyDescent="0.35">
      <c r="A126" s="51" t="s">
        <v>145</v>
      </c>
      <c r="B126" s="65" t="s">
        <v>146</v>
      </c>
      <c r="C126" s="65"/>
      <c r="D126" s="65"/>
      <c r="E126" s="65"/>
      <c r="F126" s="65"/>
      <c r="G126" s="65"/>
      <c r="H126" s="65"/>
      <c r="I126" s="65"/>
      <c r="J126" s="65"/>
      <c r="K126" s="65"/>
      <c r="L126" s="65"/>
      <c r="M126" s="2"/>
      <c r="N126" s="2"/>
      <c r="O126" s="2"/>
      <c r="P126" s="2"/>
      <c r="Q126" s="2"/>
      <c r="R126" s="2"/>
      <c r="S126" s="2"/>
      <c r="T126" s="2"/>
      <c r="U126" s="2"/>
      <c r="V126" s="2"/>
      <c r="W126" s="2"/>
      <c r="X126" s="3"/>
      <c r="Y126" s="3"/>
      <c r="Z126" s="3"/>
      <c r="AA126" s="3"/>
      <c r="AB126" s="3"/>
      <c r="AC126" s="3"/>
      <c r="AD126" s="3"/>
      <c r="AE126" s="3"/>
      <c r="AF126" s="3"/>
      <c r="AG126" s="3"/>
    </row>
    <row r="127" spans="1:33" ht="43.5" customHeight="1" x14ac:dyDescent="0.35">
      <c r="A127" s="51" t="s">
        <v>147</v>
      </c>
      <c r="B127" s="65" t="s">
        <v>148</v>
      </c>
      <c r="C127" s="65"/>
      <c r="D127" s="65"/>
      <c r="E127" s="65"/>
      <c r="F127" s="65"/>
      <c r="G127" s="65"/>
      <c r="H127" s="65"/>
      <c r="I127" s="65"/>
      <c r="J127" s="65"/>
      <c r="K127" s="65"/>
      <c r="L127" s="65"/>
      <c r="M127" s="2"/>
      <c r="N127" s="2"/>
      <c r="O127" s="2"/>
      <c r="P127" s="2"/>
      <c r="Q127" s="2"/>
      <c r="R127" s="2"/>
      <c r="S127" s="2"/>
      <c r="T127" s="2"/>
      <c r="U127" s="2"/>
      <c r="V127" s="2"/>
      <c r="W127" s="2"/>
      <c r="X127" s="3"/>
      <c r="Y127" s="3"/>
      <c r="Z127" s="3"/>
      <c r="AA127" s="3"/>
      <c r="AB127" s="3"/>
      <c r="AC127" s="3"/>
      <c r="AD127" s="3"/>
      <c r="AE127" s="3"/>
      <c r="AF127" s="3"/>
      <c r="AG127" s="3"/>
    </row>
    <row r="128" spans="1:33" ht="29.25" customHeight="1" x14ac:dyDescent="0.35">
      <c r="A128" s="51" t="s">
        <v>149</v>
      </c>
      <c r="B128" s="65" t="s">
        <v>150</v>
      </c>
      <c r="C128" s="65"/>
      <c r="D128" s="65"/>
      <c r="E128" s="65"/>
      <c r="F128" s="65"/>
      <c r="G128" s="65"/>
      <c r="H128" s="65"/>
      <c r="I128" s="65"/>
      <c r="J128" s="65"/>
      <c r="K128" s="65"/>
      <c r="L128" s="65"/>
      <c r="M128" s="2"/>
      <c r="N128" s="2"/>
      <c r="O128" s="2"/>
      <c r="P128" s="2"/>
      <c r="Q128" s="2"/>
      <c r="R128" s="2"/>
      <c r="S128" s="2"/>
      <c r="T128" s="2"/>
      <c r="U128" s="2"/>
      <c r="V128" s="2"/>
      <c r="W128" s="2"/>
      <c r="X128" s="3"/>
      <c r="Y128" s="3"/>
      <c r="Z128" s="3"/>
      <c r="AA128" s="3"/>
      <c r="AB128" s="3"/>
      <c r="AC128" s="3"/>
      <c r="AD128" s="3"/>
      <c r="AE128" s="3"/>
      <c r="AF128" s="3"/>
      <c r="AG128" s="3"/>
    </row>
    <row r="129" spans="1:33" ht="30.75" customHeight="1" x14ac:dyDescent="0.35">
      <c r="A129" s="51" t="s">
        <v>151</v>
      </c>
      <c r="B129" s="65" t="s">
        <v>152</v>
      </c>
      <c r="C129" s="65"/>
      <c r="D129" s="65"/>
      <c r="E129" s="65"/>
      <c r="F129" s="65"/>
      <c r="G129" s="65"/>
      <c r="H129" s="65"/>
      <c r="I129" s="65"/>
      <c r="J129" s="65"/>
      <c r="K129" s="65"/>
      <c r="L129" s="65"/>
      <c r="M129" s="2"/>
      <c r="N129" s="2"/>
      <c r="O129" s="2"/>
      <c r="P129" s="2"/>
      <c r="Q129" s="2"/>
      <c r="R129" s="2"/>
      <c r="S129" s="2"/>
      <c r="T129" s="2"/>
      <c r="U129" s="2"/>
      <c r="V129" s="2"/>
      <c r="W129" s="2"/>
      <c r="X129" s="3"/>
      <c r="Y129" s="3"/>
      <c r="Z129" s="3"/>
      <c r="AA129" s="3"/>
      <c r="AB129" s="3"/>
      <c r="AC129" s="3"/>
      <c r="AD129" s="3"/>
      <c r="AE129" s="3"/>
      <c r="AF129" s="3"/>
      <c r="AG129" s="3"/>
    </row>
    <row r="130" spans="1:33" ht="42.75" customHeight="1" x14ac:dyDescent="0.35">
      <c r="A130" s="52" t="s">
        <v>153</v>
      </c>
      <c r="B130" s="99" t="s">
        <v>154</v>
      </c>
      <c r="C130" s="99"/>
      <c r="D130" s="99"/>
      <c r="E130" s="99"/>
      <c r="F130" s="99"/>
      <c r="G130" s="99"/>
      <c r="H130" s="99"/>
      <c r="I130" s="99"/>
      <c r="J130" s="99"/>
      <c r="K130" s="99"/>
      <c r="L130" s="99"/>
      <c r="M130" s="2"/>
      <c r="N130" s="2"/>
      <c r="O130" s="2"/>
      <c r="P130" s="2"/>
      <c r="Q130" s="2"/>
      <c r="R130" s="2"/>
      <c r="S130" s="2"/>
      <c r="T130" s="2"/>
      <c r="U130" s="2"/>
      <c r="V130" s="2"/>
      <c r="W130" s="2"/>
      <c r="X130" s="3"/>
      <c r="Y130" s="3"/>
      <c r="Z130" s="3"/>
      <c r="AA130" s="3"/>
      <c r="AB130" s="3"/>
      <c r="AC130" s="3"/>
      <c r="AD130" s="3"/>
      <c r="AE130" s="3"/>
      <c r="AF130" s="3"/>
      <c r="AG130" s="3"/>
    </row>
    <row r="131" spans="1:33" ht="23.25" customHeight="1" x14ac:dyDescent="0.35">
      <c r="A131" s="52" t="s">
        <v>155</v>
      </c>
      <c r="B131" s="65" t="s">
        <v>156</v>
      </c>
      <c r="C131" s="65"/>
      <c r="D131" s="65"/>
      <c r="E131" s="65"/>
      <c r="F131" s="65"/>
      <c r="G131" s="65"/>
      <c r="H131" s="65"/>
      <c r="I131" s="65"/>
      <c r="J131" s="65"/>
      <c r="K131" s="65"/>
      <c r="L131" s="65"/>
      <c r="M131" s="2"/>
      <c r="N131" s="2"/>
      <c r="O131" s="2"/>
      <c r="P131" s="2"/>
      <c r="Q131" s="2"/>
      <c r="R131" s="2"/>
      <c r="S131" s="2"/>
      <c r="T131" s="2"/>
      <c r="U131" s="2"/>
      <c r="V131" s="2"/>
      <c r="W131" s="2"/>
      <c r="X131" s="3"/>
      <c r="Y131" s="3"/>
      <c r="Z131" s="3"/>
      <c r="AA131" s="3"/>
      <c r="AB131" s="3"/>
      <c r="AC131" s="3"/>
      <c r="AD131" s="3"/>
      <c r="AE131" s="3"/>
      <c r="AF131" s="3"/>
      <c r="AG131" s="3"/>
    </row>
    <row r="132" spans="1:33" ht="36" customHeight="1" x14ac:dyDescent="0.35">
      <c r="A132" s="51" t="s">
        <v>157</v>
      </c>
      <c r="B132" s="65" t="s">
        <v>158</v>
      </c>
      <c r="C132" s="65"/>
      <c r="D132" s="65"/>
      <c r="E132" s="65"/>
      <c r="F132" s="65"/>
      <c r="G132" s="65"/>
      <c r="H132" s="65"/>
      <c r="I132" s="65"/>
      <c r="J132" s="65"/>
      <c r="K132" s="65"/>
      <c r="L132" s="65"/>
      <c r="M132" s="2"/>
      <c r="N132" s="2"/>
      <c r="O132" s="2"/>
      <c r="P132" s="2"/>
      <c r="Q132" s="2"/>
      <c r="R132" s="2"/>
      <c r="S132" s="2"/>
      <c r="T132" s="2"/>
      <c r="U132" s="2"/>
      <c r="V132" s="2"/>
      <c r="W132" s="2"/>
      <c r="X132" s="3"/>
      <c r="Y132" s="3"/>
      <c r="Z132" s="3"/>
      <c r="AA132" s="3"/>
      <c r="AB132" s="3"/>
      <c r="AC132" s="3"/>
      <c r="AD132" s="3"/>
      <c r="AE132" s="3"/>
      <c r="AF132" s="3"/>
      <c r="AG132" s="3"/>
    </row>
    <row r="133" spans="1:33" ht="33.75" customHeight="1" x14ac:dyDescent="0.35">
      <c r="A133" s="52" t="s">
        <v>159</v>
      </c>
      <c r="B133" s="99" t="s">
        <v>160</v>
      </c>
      <c r="C133" s="99"/>
      <c r="D133" s="99"/>
      <c r="E133" s="99"/>
      <c r="F133" s="99"/>
      <c r="G133" s="99"/>
      <c r="H133" s="99"/>
      <c r="I133" s="99"/>
      <c r="J133" s="99"/>
      <c r="K133" s="99"/>
      <c r="L133" s="99"/>
      <c r="M133" s="2"/>
      <c r="N133" s="2"/>
      <c r="O133" s="2"/>
      <c r="P133" s="2"/>
      <c r="Q133" s="2"/>
      <c r="R133" s="2"/>
      <c r="S133" s="2"/>
      <c r="T133" s="2"/>
      <c r="U133" s="2"/>
      <c r="V133" s="2"/>
      <c r="W133" s="2"/>
      <c r="X133" s="3"/>
      <c r="Y133" s="3"/>
      <c r="Z133" s="3"/>
      <c r="AA133" s="3"/>
      <c r="AB133" s="3"/>
      <c r="AC133" s="3"/>
      <c r="AD133" s="3"/>
      <c r="AE133" s="3"/>
      <c r="AF133" s="3"/>
      <c r="AG133" s="3"/>
    </row>
    <row r="134" spans="1:33" ht="36.75" customHeight="1" x14ac:dyDescent="0.35">
      <c r="A134" s="52" t="s">
        <v>161</v>
      </c>
      <c r="B134" s="65" t="s">
        <v>162</v>
      </c>
      <c r="C134" s="65"/>
      <c r="D134" s="65"/>
      <c r="E134" s="65"/>
      <c r="F134" s="65"/>
      <c r="G134" s="65"/>
      <c r="H134" s="65"/>
      <c r="I134" s="65"/>
      <c r="J134" s="65"/>
      <c r="K134" s="65"/>
      <c r="L134" s="65"/>
      <c r="M134" s="2"/>
      <c r="N134" s="2"/>
      <c r="O134" s="2"/>
      <c r="P134" s="2"/>
      <c r="Q134" s="2"/>
      <c r="R134" s="2"/>
      <c r="S134" s="2"/>
      <c r="T134" s="2"/>
      <c r="U134" s="2"/>
      <c r="V134" s="2"/>
      <c r="W134" s="2"/>
      <c r="X134" s="3"/>
      <c r="Y134" s="3"/>
      <c r="Z134" s="3"/>
      <c r="AA134" s="3"/>
      <c r="AB134" s="3"/>
      <c r="AC134" s="3"/>
      <c r="AD134" s="3"/>
      <c r="AE134" s="3"/>
      <c r="AF134" s="3"/>
      <c r="AG134" s="3"/>
    </row>
    <row r="135" spans="1:33" ht="43.5" customHeight="1" x14ac:dyDescent="0.35">
      <c r="A135" s="52" t="s">
        <v>163</v>
      </c>
      <c r="B135" s="65" t="s">
        <v>164</v>
      </c>
      <c r="C135" s="65"/>
      <c r="D135" s="65"/>
      <c r="E135" s="65"/>
      <c r="F135" s="65"/>
      <c r="G135" s="65"/>
      <c r="H135" s="65"/>
      <c r="I135" s="65"/>
      <c r="J135" s="65"/>
      <c r="K135" s="65"/>
      <c r="L135" s="65"/>
      <c r="M135" s="2"/>
      <c r="N135" s="2"/>
      <c r="O135" s="2"/>
      <c r="P135" s="2"/>
      <c r="Q135" s="2"/>
      <c r="R135" s="2"/>
      <c r="S135" s="2"/>
      <c r="T135" s="2"/>
      <c r="U135" s="2"/>
      <c r="V135" s="2"/>
      <c r="W135" s="2"/>
      <c r="X135" s="3"/>
      <c r="Y135" s="3"/>
      <c r="Z135" s="3"/>
      <c r="AA135" s="3"/>
      <c r="AB135" s="3"/>
      <c r="AC135" s="3"/>
      <c r="AD135" s="3"/>
      <c r="AE135" s="3"/>
      <c r="AF135" s="3"/>
      <c r="AG135" s="3"/>
    </row>
    <row r="136" spans="1:33" ht="42" customHeight="1" x14ac:dyDescent="0.35">
      <c r="A136" s="52" t="s">
        <v>165</v>
      </c>
      <c r="B136" s="65" t="s">
        <v>166</v>
      </c>
      <c r="C136" s="65"/>
      <c r="D136" s="65"/>
      <c r="E136" s="65"/>
      <c r="F136" s="65"/>
      <c r="G136" s="65"/>
      <c r="H136" s="65"/>
      <c r="I136" s="65"/>
      <c r="J136" s="65"/>
      <c r="K136" s="65"/>
      <c r="L136" s="65"/>
      <c r="M136" s="2"/>
      <c r="N136" s="2"/>
      <c r="O136" s="2"/>
      <c r="P136" s="2"/>
      <c r="Q136" s="2"/>
      <c r="R136" s="2"/>
      <c r="S136" s="2"/>
      <c r="T136" s="2"/>
      <c r="U136" s="2"/>
      <c r="V136" s="2"/>
      <c r="W136" s="2"/>
      <c r="X136" s="3"/>
      <c r="Y136" s="3"/>
      <c r="Z136" s="3"/>
      <c r="AA136" s="3"/>
      <c r="AB136" s="3"/>
      <c r="AC136" s="3"/>
      <c r="AD136" s="3"/>
      <c r="AE136" s="3"/>
      <c r="AF136" s="3"/>
      <c r="AG136" s="3"/>
    </row>
    <row r="137" spans="1:33" ht="41.25" customHeight="1" x14ac:dyDescent="0.35">
      <c r="A137" s="52" t="s">
        <v>167</v>
      </c>
      <c r="B137" s="65" t="s">
        <v>168</v>
      </c>
      <c r="C137" s="65"/>
      <c r="D137" s="65"/>
      <c r="E137" s="65"/>
      <c r="F137" s="65"/>
      <c r="G137" s="65"/>
      <c r="H137" s="65"/>
      <c r="I137" s="65"/>
      <c r="J137" s="65"/>
      <c r="K137" s="65"/>
      <c r="L137" s="65"/>
      <c r="M137" s="2"/>
      <c r="N137" s="2"/>
      <c r="O137" s="2"/>
      <c r="P137" s="2"/>
      <c r="Q137" s="2"/>
      <c r="R137" s="2"/>
      <c r="S137" s="2"/>
      <c r="T137" s="2"/>
      <c r="U137" s="2"/>
      <c r="V137" s="2"/>
      <c r="W137" s="2"/>
      <c r="X137" s="3"/>
      <c r="Y137" s="3"/>
      <c r="Z137" s="3"/>
      <c r="AA137" s="3"/>
      <c r="AB137" s="3"/>
      <c r="AC137" s="3"/>
      <c r="AD137" s="3"/>
      <c r="AE137" s="3"/>
      <c r="AF137" s="3"/>
      <c r="AG137" s="3"/>
    </row>
    <row r="139" spans="1:33" x14ac:dyDescent="0.35">
      <c r="A139" s="3"/>
      <c r="B139" s="3"/>
      <c r="C139" s="3"/>
      <c r="D139" s="3"/>
      <c r="E139" s="3"/>
      <c r="F139" s="3"/>
      <c r="G139" s="3"/>
      <c r="H139" s="3"/>
      <c r="I139" s="3"/>
      <c r="J139" s="3"/>
      <c r="K139" s="3"/>
      <c r="L139" s="3"/>
      <c r="M139" s="3"/>
      <c r="N139" s="3"/>
      <c r="O139" s="3"/>
      <c r="P139" s="3"/>
      <c r="Q139" s="3"/>
      <c r="R139" s="3"/>
      <c r="S139" s="3"/>
      <c r="T139" s="3"/>
      <c r="U139" s="3"/>
    </row>
    <row r="140" spans="1:33" x14ac:dyDescent="0.35">
      <c r="A140" s="3"/>
      <c r="B140" s="3"/>
      <c r="C140" s="3"/>
      <c r="D140" s="3"/>
      <c r="E140" s="3"/>
      <c r="F140" s="3"/>
      <c r="G140" s="3"/>
      <c r="H140" s="3"/>
      <c r="I140" s="3"/>
      <c r="J140" s="3"/>
      <c r="K140" s="3"/>
      <c r="L140" s="3"/>
      <c r="M140" s="3"/>
      <c r="N140" s="3"/>
      <c r="O140" s="3"/>
      <c r="P140" s="3"/>
      <c r="Q140" s="3"/>
      <c r="R140" s="3"/>
      <c r="S140" s="3"/>
      <c r="T140" s="3"/>
      <c r="U140" s="3"/>
    </row>
    <row r="141" spans="1:33" x14ac:dyDescent="0.35">
      <c r="A141" s="3"/>
      <c r="B141" s="3"/>
      <c r="C141" s="3"/>
      <c r="D141" s="3"/>
      <c r="E141" s="3"/>
      <c r="F141" s="3"/>
      <c r="G141" s="3"/>
      <c r="H141" s="3"/>
      <c r="I141" s="3"/>
      <c r="J141" s="3"/>
      <c r="K141" s="3"/>
      <c r="L141" s="3"/>
      <c r="M141" s="3"/>
      <c r="N141" s="3"/>
      <c r="O141" s="3"/>
      <c r="P141" s="3"/>
      <c r="Q141" s="3"/>
      <c r="R141" s="3"/>
      <c r="S141" s="3"/>
      <c r="T141" s="3"/>
      <c r="U141" s="3"/>
    </row>
    <row r="142" spans="1:33" x14ac:dyDescent="0.35">
      <c r="A142" s="3"/>
      <c r="B142" s="3"/>
      <c r="C142" s="3"/>
      <c r="D142" s="3"/>
      <c r="E142" s="3"/>
      <c r="F142" s="3"/>
      <c r="G142" s="3"/>
      <c r="H142" s="3"/>
      <c r="I142" s="3"/>
      <c r="J142" s="3"/>
      <c r="K142" s="3"/>
      <c r="L142" s="3"/>
      <c r="M142" s="3"/>
      <c r="N142" s="3"/>
      <c r="O142" s="3"/>
      <c r="P142" s="3"/>
      <c r="Q142" s="3"/>
      <c r="R142" s="3"/>
      <c r="S142" s="3"/>
      <c r="T142" s="3"/>
      <c r="U142" s="3"/>
    </row>
    <row r="143" spans="1:33" x14ac:dyDescent="0.35">
      <c r="A143" s="3"/>
      <c r="B143" s="3"/>
      <c r="C143" s="3"/>
      <c r="D143" s="3"/>
      <c r="E143" s="3"/>
      <c r="F143" s="3"/>
      <c r="G143" s="3"/>
      <c r="H143" s="3"/>
      <c r="I143" s="3"/>
      <c r="J143" s="3"/>
      <c r="K143" s="3"/>
      <c r="L143" s="3"/>
      <c r="M143" s="3"/>
      <c r="N143" s="3"/>
      <c r="O143" s="3"/>
      <c r="P143" s="3"/>
      <c r="Q143" s="3"/>
      <c r="R143" s="3"/>
      <c r="S143" s="3"/>
      <c r="T143" s="3"/>
      <c r="U143" s="3"/>
    </row>
    <row r="144" spans="1:33" x14ac:dyDescent="0.35">
      <c r="A144" s="3"/>
      <c r="B144" s="3"/>
      <c r="C144" s="3"/>
      <c r="D144" s="3"/>
      <c r="E144" s="3"/>
      <c r="F144" s="3"/>
      <c r="G144" s="3"/>
      <c r="H144" s="3"/>
      <c r="I144" s="3"/>
      <c r="J144" s="3"/>
      <c r="K144" s="3"/>
      <c r="L144" s="3"/>
      <c r="M144" s="3"/>
      <c r="N144" s="3"/>
      <c r="O144" s="3"/>
      <c r="P144" s="3"/>
      <c r="Q144" s="3"/>
      <c r="R144" s="3"/>
      <c r="S144" s="3"/>
      <c r="T144" s="3"/>
      <c r="U144" s="3"/>
    </row>
    <row r="145" spans="1:21" x14ac:dyDescent="0.35">
      <c r="A145" s="3"/>
      <c r="B145" s="3"/>
      <c r="C145" s="3"/>
      <c r="D145" s="3"/>
      <c r="E145" s="3"/>
      <c r="F145" s="3"/>
      <c r="G145" s="3"/>
      <c r="H145" s="3"/>
      <c r="I145" s="3"/>
      <c r="J145" s="3"/>
      <c r="K145" s="3"/>
      <c r="L145" s="3"/>
      <c r="M145" s="3"/>
      <c r="N145" s="3"/>
      <c r="O145" s="3"/>
      <c r="P145" s="3"/>
      <c r="Q145" s="3"/>
      <c r="R145" s="3"/>
      <c r="S145" s="3"/>
      <c r="T145" s="3"/>
      <c r="U145" s="3"/>
    </row>
    <row r="146" spans="1:21" x14ac:dyDescent="0.35">
      <c r="A146" s="3"/>
      <c r="B146" s="3"/>
      <c r="C146" s="3"/>
      <c r="D146" s="3"/>
      <c r="E146" s="3"/>
      <c r="F146" s="3"/>
      <c r="G146" s="3"/>
      <c r="H146" s="3"/>
      <c r="I146" s="3"/>
      <c r="J146" s="3"/>
      <c r="K146" s="3"/>
      <c r="L146" s="3"/>
      <c r="M146" s="3"/>
      <c r="N146" s="3"/>
      <c r="O146" s="3"/>
      <c r="P146" s="3"/>
      <c r="Q146" s="3"/>
      <c r="R146" s="3"/>
      <c r="S146" s="3"/>
      <c r="T146" s="3"/>
      <c r="U146" s="3"/>
    </row>
    <row r="147" spans="1:21" x14ac:dyDescent="0.35">
      <c r="A147" s="3"/>
      <c r="B147" s="3"/>
      <c r="C147" s="3"/>
      <c r="D147" s="3"/>
      <c r="E147" s="3"/>
      <c r="F147" s="3"/>
      <c r="G147" s="3"/>
      <c r="H147" s="3"/>
      <c r="I147" s="3"/>
      <c r="J147" s="3"/>
      <c r="K147" s="3"/>
      <c r="L147" s="3"/>
      <c r="M147" s="3"/>
      <c r="N147" s="3"/>
      <c r="O147" s="3"/>
      <c r="P147" s="3"/>
      <c r="Q147" s="3"/>
      <c r="R147" s="3"/>
      <c r="S147" s="3"/>
      <c r="T147" s="3"/>
      <c r="U147" s="3"/>
    </row>
    <row r="148" spans="1:21" x14ac:dyDescent="0.35">
      <c r="A148" s="3"/>
      <c r="B148" s="3"/>
      <c r="C148" s="3"/>
      <c r="D148" s="3"/>
      <c r="E148" s="3"/>
      <c r="F148" s="3"/>
      <c r="G148" s="3"/>
      <c r="H148" s="3"/>
      <c r="I148" s="3"/>
      <c r="J148" s="3"/>
      <c r="K148" s="3"/>
      <c r="L148" s="3"/>
      <c r="M148" s="3"/>
      <c r="N148" s="3"/>
      <c r="O148" s="3"/>
      <c r="P148" s="3"/>
      <c r="Q148" s="3"/>
      <c r="R148" s="3"/>
      <c r="S148" s="3"/>
      <c r="T148" s="3"/>
      <c r="U148" s="3"/>
    </row>
    <row r="149" spans="1:21" x14ac:dyDescent="0.35">
      <c r="A149" s="3"/>
      <c r="B149" s="3"/>
      <c r="C149" s="3"/>
      <c r="D149" s="3"/>
      <c r="E149" s="3"/>
      <c r="F149" s="3"/>
      <c r="G149" s="3"/>
      <c r="H149" s="3"/>
      <c r="I149" s="3"/>
      <c r="J149" s="3"/>
      <c r="K149" s="3"/>
      <c r="L149" s="3"/>
      <c r="M149" s="3"/>
      <c r="N149" s="3"/>
      <c r="O149" s="3"/>
      <c r="P149" s="3"/>
      <c r="Q149" s="3"/>
      <c r="R149" s="3"/>
      <c r="S149" s="3"/>
      <c r="T149" s="3"/>
      <c r="U149" s="3"/>
    </row>
    <row r="150" spans="1:21" x14ac:dyDescent="0.35">
      <c r="A150" s="3"/>
      <c r="B150" s="3"/>
      <c r="C150" s="3"/>
      <c r="D150" s="3"/>
      <c r="E150" s="3"/>
      <c r="F150" s="3"/>
      <c r="G150" s="3"/>
      <c r="H150" s="3"/>
      <c r="I150" s="3"/>
      <c r="J150" s="3"/>
      <c r="K150" s="3"/>
      <c r="L150" s="3"/>
      <c r="M150" s="3"/>
      <c r="N150" s="3"/>
      <c r="O150" s="3"/>
      <c r="P150" s="3"/>
      <c r="Q150" s="3"/>
      <c r="R150" s="3"/>
      <c r="S150" s="3"/>
      <c r="T150" s="3"/>
      <c r="U150" s="3"/>
    </row>
    <row r="151" spans="1:21" x14ac:dyDescent="0.35">
      <c r="A151" s="3"/>
      <c r="B151" s="3"/>
      <c r="C151" s="3"/>
      <c r="D151" s="3"/>
      <c r="E151" s="3"/>
      <c r="F151" s="3"/>
      <c r="G151" s="3"/>
      <c r="H151" s="3"/>
      <c r="I151" s="3"/>
      <c r="J151" s="3"/>
      <c r="K151" s="3"/>
      <c r="L151" s="3"/>
      <c r="M151" s="3"/>
      <c r="N151" s="3"/>
      <c r="O151" s="3"/>
      <c r="P151" s="3"/>
      <c r="Q151" s="3"/>
      <c r="R151" s="3"/>
      <c r="S151" s="3"/>
      <c r="T151" s="3"/>
      <c r="U151" s="3"/>
    </row>
  </sheetData>
  <mergeCells count="584">
    <mergeCell ref="B133:L133"/>
    <mergeCell ref="B134:L134"/>
    <mergeCell ref="B135:L135"/>
    <mergeCell ref="B136:L136"/>
    <mergeCell ref="B137:L137"/>
    <mergeCell ref="B124:L124"/>
    <mergeCell ref="B125:L125"/>
    <mergeCell ref="B126:L126"/>
    <mergeCell ref="B127:L127"/>
    <mergeCell ref="B128:L128"/>
    <mergeCell ref="B129:L129"/>
    <mergeCell ref="B130:L130"/>
    <mergeCell ref="B131:L131"/>
    <mergeCell ref="B132:L132"/>
    <mergeCell ref="A113:L113"/>
    <mergeCell ref="A114:L116"/>
    <mergeCell ref="B117:L117"/>
    <mergeCell ref="B118:L118"/>
    <mergeCell ref="B119:L119"/>
    <mergeCell ref="B120:L120"/>
    <mergeCell ref="B121:L121"/>
    <mergeCell ref="B122:L122"/>
    <mergeCell ref="B123:L123"/>
    <mergeCell ref="A99:L100"/>
    <mergeCell ref="A101:L101"/>
    <mergeCell ref="A102:A105"/>
    <mergeCell ref="B102:L102"/>
    <mergeCell ref="B103:L103"/>
    <mergeCell ref="B104:L105"/>
    <mergeCell ref="B106:L106"/>
    <mergeCell ref="A107:A112"/>
    <mergeCell ref="B107:L112"/>
    <mergeCell ref="A93:J93"/>
    <mergeCell ref="K93:L93"/>
    <mergeCell ref="A94:J94"/>
    <mergeCell ref="K94:L94"/>
    <mergeCell ref="A96:L96"/>
    <mergeCell ref="A97:A98"/>
    <mergeCell ref="B97:G97"/>
    <mergeCell ref="H97:L97"/>
    <mergeCell ref="B98:L98"/>
    <mergeCell ref="B80:C80"/>
    <mergeCell ref="A82:L82"/>
    <mergeCell ref="N82:W82"/>
    <mergeCell ref="A83:C84"/>
    <mergeCell ref="E83:H84"/>
    <mergeCell ref="I83:L84"/>
    <mergeCell ref="A85:C92"/>
    <mergeCell ref="E85:H92"/>
    <mergeCell ref="I85:L92"/>
    <mergeCell ref="A77:A78"/>
    <mergeCell ref="B77:C77"/>
    <mergeCell ref="E77:F77"/>
    <mergeCell ref="G77:AG78"/>
    <mergeCell ref="B78:C78"/>
    <mergeCell ref="E78:F78"/>
    <mergeCell ref="A79:I79"/>
    <mergeCell ref="J79:L79"/>
    <mergeCell ref="M79:T79"/>
    <mergeCell ref="U79:W79"/>
    <mergeCell ref="AE75:AG75"/>
    <mergeCell ref="B76:C76"/>
    <mergeCell ref="D76:F76"/>
    <mergeCell ref="G76:H76"/>
    <mergeCell ref="I76:K76"/>
    <mergeCell ref="L76:M76"/>
    <mergeCell ref="Q76:R76"/>
    <mergeCell ref="V76:X76"/>
    <mergeCell ref="Y76:AA76"/>
    <mergeCell ref="AB76:AC76"/>
    <mergeCell ref="AE76:AG76"/>
    <mergeCell ref="B75:C75"/>
    <mergeCell ref="D75:F75"/>
    <mergeCell ref="G75:H75"/>
    <mergeCell ref="I75:K75"/>
    <mergeCell ref="L75:M75"/>
    <mergeCell ref="Q75:R75"/>
    <mergeCell ref="V75:X75"/>
    <mergeCell ref="Y75:AA75"/>
    <mergeCell ref="AB75:AC75"/>
    <mergeCell ref="Y73:AA73"/>
    <mergeCell ref="AB73:AD73"/>
    <mergeCell ref="AE73:AG73"/>
    <mergeCell ref="B74:C74"/>
    <mergeCell ref="D74:F74"/>
    <mergeCell ref="G74:H74"/>
    <mergeCell ref="I74:K74"/>
    <mergeCell ref="L74:M74"/>
    <mergeCell ref="Q74:R74"/>
    <mergeCell ref="V74:X74"/>
    <mergeCell ref="Y74:AA74"/>
    <mergeCell ref="AB74:AD74"/>
    <mergeCell ref="AE74:AG74"/>
    <mergeCell ref="B72:I72"/>
    <mergeCell ref="L72:M72"/>
    <mergeCell ref="O72:S72"/>
    <mergeCell ref="V72:W72"/>
    <mergeCell ref="B73:C73"/>
    <mergeCell ref="D73:F73"/>
    <mergeCell ref="G73:H73"/>
    <mergeCell ref="I73:K73"/>
    <mergeCell ref="L73:M73"/>
    <mergeCell ref="Q73:R73"/>
    <mergeCell ref="V73:X73"/>
    <mergeCell ref="V70:X70"/>
    <mergeCell ref="Y70:AA70"/>
    <mergeCell ref="AB70:AD70"/>
    <mergeCell ref="AE70:AG70"/>
    <mergeCell ref="B71:C71"/>
    <mergeCell ref="D71:F71"/>
    <mergeCell ref="G71:H71"/>
    <mergeCell ref="I71:K71"/>
    <mergeCell ref="L71:M71"/>
    <mergeCell ref="Q71:R71"/>
    <mergeCell ref="V71:X71"/>
    <mergeCell ref="Y71:AA71"/>
    <mergeCell ref="AB71:AD71"/>
    <mergeCell ref="AE71:AG71"/>
    <mergeCell ref="A68:A69"/>
    <mergeCell ref="B68:C68"/>
    <mergeCell ref="E68:F68"/>
    <mergeCell ref="B69:C69"/>
    <mergeCell ref="E69:F69"/>
    <mergeCell ref="G69:U69"/>
    <mergeCell ref="B70:C70"/>
    <mergeCell ref="D70:F70"/>
    <mergeCell ref="G70:H70"/>
    <mergeCell ref="I70:K70"/>
    <mergeCell ref="L70:M70"/>
    <mergeCell ref="Q70:R70"/>
    <mergeCell ref="AE66:AG66"/>
    <mergeCell ref="B67:C67"/>
    <mergeCell ref="D67:F67"/>
    <mergeCell ref="G67:H67"/>
    <mergeCell ref="I67:K67"/>
    <mergeCell ref="L67:M67"/>
    <mergeCell ref="Q67:R67"/>
    <mergeCell ref="V67:X67"/>
    <mergeCell ref="Y67:AA67"/>
    <mergeCell ref="AB67:AC67"/>
    <mergeCell ref="AE67:AG67"/>
    <mergeCell ref="B66:C66"/>
    <mergeCell ref="D66:F66"/>
    <mergeCell ref="G66:H66"/>
    <mergeCell ref="I66:K66"/>
    <mergeCell ref="L66:M66"/>
    <mergeCell ref="Q66:R66"/>
    <mergeCell ref="V66:X66"/>
    <mergeCell ref="Y66:AA66"/>
    <mergeCell ref="AB66:AC66"/>
    <mergeCell ref="AB64:AD64"/>
    <mergeCell ref="AE64:AG64"/>
    <mergeCell ref="B65:C65"/>
    <mergeCell ref="D65:F65"/>
    <mergeCell ref="G65:H65"/>
    <mergeCell ref="I65:K65"/>
    <mergeCell ref="L65:M65"/>
    <mergeCell ref="Q65:R65"/>
    <mergeCell ref="V65:X65"/>
    <mergeCell ref="Y65:AA65"/>
    <mergeCell ref="AB65:AD65"/>
    <mergeCell ref="AE65:AG65"/>
    <mergeCell ref="V63:W63"/>
    <mergeCell ref="B64:C64"/>
    <mergeCell ref="D64:F64"/>
    <mergeCell ref="G64:H64"/>
    <mergeCell ref="I64:K64"/>
    <mergeCell ref="L64:M64"/>
    <mergeCell ref="Q64:R64"/>
    <mergeCell ref="V64:X64"/>
    <mergeCell ref="Y64:AA64"/>
    <mergeCell ref="A61:A62"/>
    <mergeCell ref="B61:C61"/>
    <mergeCell ref="E61:F61"/>
    <mergeCell ref="B62:C62"/>
    <mergeCell ref="E62:F62"/>
    <mergeCell ref="G62:U62"/>
    <mergeCell ref="B63:I63"/>
    <mergeCell ref="L63:M63"/>
    <mergeCell ref="O63:S63"/>
    <mergeCell ref="AE59:AG59"/>
    <mergeCell ref="B60:C60"/>
    <mergeCell ref="D60:F60"/>
    <mergeCell ref="G60:H60"/>
    <mergeCell ref="I60:K60"/>
    <mergeCell ref="L60:M60"/>
    <mergeCell ref="Q60:R60"/>
    <mergeCell ref="V60:X60"/>
    <mergeCell ref="Y60:AA60"/>
    <mergeCell ref="AB60:AC60"/>
    <mergeCell ref="AE60:AG60"/>
    <mergeCell ref="B59:C59"/>
    <mergeCell ref="D59:F59"/>
    <mergeCell ref="G59:H59"/>
    <mergeCell ref="I59:K59"/>
    <mergeCell ref="L59:M59"/>
    <mergeCell ref="Q59:R59"/>
    <mergeCell ref="V59:X59"/>
    <mergeCell ref="Y59:AA59"/>
    <mergeCell ref="AB59:AC59"/>
    <mergeCell ref="AB57:AD57"/>
    <mergeCell ref="AE57:AG57"/>
    <mergeCell ref="B58:C58"/>
    <mergeCell ref="D58:F58"/>
    <mergeCell ref="G58:H58"/>
    <mergeCell ref="I58:K58"/>
    <mergeCell ref="L58:M58"/>
    <mergeCell ref="Q58:R58"/>
    <mergeCell ref="V58:X58"/>
    <mergeCell ref="Y58:AA58"/>
    <mergeCell ref="AB58:AD58"/>
    <mergeCell ref="AE58:AG58"/>
    <mergeCell ref="V56:W56"/>
    <mergeCell ref="B57:C57"/>
    <mergeCell ref="D57:F57"/>
    <mergeCell ref="G57:H57"/>
    <mergeCell ref="I57:K57"/>
    <mergeCell ref="L57:M57"/>
    <mergeCell ref="Q57:R57"/>
    <mergeCell ref="V57:X57"/>
    <mergeCell ref="Y57:AA57"/>
    <mergeCell ref="A54:A55"/>
    <mergeCell ref="B54:C54"/>
    <mergeCell ref="E54:F54"/>
    <mergeCell ref="B55:C55"/>
    <mergeCell ref="E55:F55"/>
    <mergeCell ref="G55:U55"/>
    <mergeCell ref="B56:I56"/>
    <mergeCell ref="L56:M56"/>
    <mergeCell ref="O56:S56"/>
    <mergeCell ref="AE52:AG52"/>
    <mergeCell ref="B53:C53"/>
    <mergeCell ref="D53:F53"/>
    <mergeCell ref="G53:H53"/>
    <mergeCell ref="I53:K53"/>
    <mergeCell ref="L53:M53"/>
    <mergeCell ref="Q53:R53"/>
    <mergeCell ref="V53:X53"/>
    <mergeCell ref="Y53:AA53"/>
    <mergeCell ref="AB53:AC53"/>
    <mergeCell ref="AE53:AG53"/>
    <mergeCell ref="B52:C52"/>
    <mergeCell ref="D52:F52"/>
    <mergeCell ref="G52:H52"/>
    <mergeCell ref="I52:K52"/>
    <mergeCell ref="L52:M52"/>
    <mergeCell ref="Q52:R52"/>
    <mergeCell ref="V52:X52"/>
    <mergeCell ref="Y52:AA52"/>
    <mergeCell ref="AB52:AC52"/>
    <mergeCell ref="AB50:AD50"/>
    <mergeCell ref="AE50:AG50"/>
    <mergeCell ref="B51:C51"/>
    <mergeCell ref="D51:F51"/>
    <mergeCell ref="G51:H51"/>
    <mergeCell ref="I51:K51"/>
    <mergeCell ref="L51:M51"/>
    <mergeCell ref="Q51:R51"/>
    <mergeCell ref="V51:X51"/>
    <mergeCell ref="Y51:AA51"/>
    <mergeCell ref="AB51:AD51"/>
    <mergeCell ref="AE51:AG51"/>
    <mergeCell ref="V49:W49"/>
    <mergeCell ref="B50:C50"/>
    <mergeCell ref="D50:F50"/>
    <mergeCell ref="G50:H50"/>
    <mergeCell ref="I50:K50"/>
    <mergeCell ref="L50:M50"/>
    <mergeCell ref="Q50:R50"/>
    <mergeCell ref="V50:X50"/>
    <mergeCell ref="Y50:AA50"/>
    <mergeCell ref="A47:A48"/>
    <mergeCell ref="B47:C47"/>
    <mergeCell ref="E47:F47"/>
    <mergeCell ref="B48:C48"/>
    <mergeCell ref="E48:F48"/>
    <mergeCell ref="G48:U48"/>
    <mergeCell ref="B49:I49"/>
    <mergeCell ref="L49:M49"/>
    <mergeCell ref="O49:S49"/>
    <mergeCell ref="AE45:AG45"/>
    <mergeCell ref="B46:C46"/>
    <mergeCell ref="D46:F46"/>
    <mergeCell ref="G46:H46"/>
    <mergeCell ref="I46:K46"/>
    <mergeCell ref="L46:M46"/>
    <mergeCell ref="Q46:R46"/>
    <mergeCell ref="V46:X46"/>
    <mergeCell ref="Y46:AA46"/>
    <mergeCell ref="AB46:AC46"/>
    <mergeCell ref="AE46:AG46"/>
    <mergeCell ref="B45:C45"/>
    <mergeCell ref="D45:F45"/>
    <mergeCell ref="G45:H45"/>
    <mergeCell ref="I45:K45"/>
    <mergeCell ref="L45:M45"/>
    <mergeCell ref="Q45:R45"/>
    <mergeCell ref="V45:X45"/>
    <mergeCell ref="Y45:AA45"/>
    <mergeCell ref="AB45:AC45"/>
    <mergeCell ref="AB43:AD43"/>
    <mergeCell ref="AE43:AG43"/>
    <mergeCell ref="B44:C44"/>
    <mergeCell ref="D44:F44"/>
    <mergeCell ref="G44:H44"/>
    <mergeCell ref="I44:K44"/>
    <mergeCell ref="L44:M44"/>
    <mergeCell ref="Q44:R44"/>
    <mergeCell ref="V44:X44"/>
    <mergeCell ref="Y44:AA44"/>
    <mergeCell ref="AB44:AD44"/>
    <mergeCell ref="AE44:AG44"/>
    <mergeCell ref="V42:W42"/>
    <mergeCell ref="B43:C43"/>
    <mergeCell ref="D43:F43"/>
    <mergeCell ref="G43:H43"/>
    <mergeCell ref="I43:K43"/>
    <mergeCell ref="L43:M43"/>
    <mergeCell ref="Q43:R43"/>
    <mergeCell ref="V43:X43"/>
    <mergeCell ref="Y43:AA43"/>
    <mergeCell ref="A40:A41"/>
    <mergeCell ref="B40:C40"/>
    <mergeCell ref="E40:F40"/>
    <mergeCell ref="B41:C41"/>
    <mergeCell ref="E41:F41"/>
    <mergeCell ref="G41:U41"/>
    <mergeCell ref="B42:I42"/>
    <mergeCell ref="L42:M42"/>
    <mergeCell ref="O42:S42"/>
    <mergeCell ref="AE38:AG38"/>
    <mergeCell ref="B39:C39"/>
    <mergeCell ref="D39:F39"/>
    <mergeCell ref="G39:H39"/>
    <mergeCell ref="I39:K39"/>
    <mergeCell ref="L39:M39"/>
    <mergeCell ref="Q39:R39"/>
    <mergeCell ref="V39:X39"/>
    <mergeCell ref="Y39:AA39"/>
    <mergeCell ref="AB39:AC39"/>
    <mergeCell ref="AE39:AG39"/>
    <mergeCell ref="B38:C38"/>
    <mergeCell ref="D38:F38"/>
    <mergeCell ref="G38:H38"/>
    <mergeCell ref="I38:K38"/>
    <mergeCell ref="L38:M38"/>
    <mergeCell ref="Q38:R38"/>
    <mergeCell ref="V38:X38"/>
    <mergeCell ref="Y38:AA38"/>
    <mergeCell ref="AB38:AC38"/>
    <mergeCell ref="AB36:AD36"/>
    <mergeCell ref="AE36:AG36"/>
    <mergeCell ref="B37:C37"/>
    <mergeCell ref="D37:F37"/>
    <mergeCell ref="G37:H37"/>
    <mergeCell ref="I37:K37"/>
    <mergeCell ref="L37:M37"/>
    <mergeCell ref="Q37:R37"/>
    <mergeCell ref="V37:X37"/>
    <mergeCell ref="Y37:AA37"/>
    <mergeCell ref="AB37:AD37"/>
    <mergeCell ref="AE37:AG37"/>
    <mergeCell ref="V35:W35"/>
    <mergeCell ref="B36:C36"/>
    <mergeCell ref="D36:F36"/>
    <mergeCell ref="G36:H36"/>
    <mergeCell ref="I36:K36"/>
    <mergeCell ref="L36:M36"/>
    <mergeCell ref="Q36:R36"/>
    <mergeCell ref="V36:X36"/>
    <mergeCell ref="Y36:AA36"/>
    <mergeCell ref="A33:A34"/>
    <mergeCell ref="B33:C33"/>
    <mergeCell ref="E33:F33"/>
    <mergeCell ref="B34:C34"/>
    <mergeCell ref="E34:F34"/>
    <mergeCell ref="G34:U34"/>
    <mergeCell ref="B35:I35"/>
    <mergeCell ref="L35:M35"/>
    <mergeCell ref="O35:S35"/>
    <mergeCell ref="AE31:AG31"/>
    <mergeCell ref="B32:C32"/>
    <mergeCell ref="D32:F32"/>
    <mergeCell ref="G32:H32"/>
    <mergeCell ref="I32:K32"/>
    <mergeCell ref="L32:M32"/>
    <mergeCell ref="Q32:R32"/>
    <mergeCell ref="V32:X32"/>
    <mergeCell ref="Y32:AA32"/>
    <mergeCell ref="AB32:AC32"/>
    <mergeCell ref="AE32:AG32"/>
    <mergeCell ref="B31:C31"/>
    <mergeCell ref="D31:F31"/>
    <mergeCell ref="G31:H31"/>
    <mergeCell ref="I31:K31"/>
    <mergeCell ref="L31:M31"/>
    <mergeCell ref="Q31:R31"/>
    <mergeCell ref="V31:X31"/>
    <mergeCell ref="Y31:AA31"/>
    <mergeCell ref="AB31:AC31"/>
    <mergeCell ref="AB29:AD29"/>
    <mergeCell ref="AE29:AG29"/>
    <mergeCell ref="B30:C30"/>
    <mergeCell ref="D30:F30"/>
    <mergeCell ref="G30:H30"/>
    <mergeCell ref="I30:K30"/>
    <mergeCell ref="L30:M30"/>
    <mergeCell ref="Q30:R30"/>
    <mergeCell ref="V30:X30"/>
    <mergeCell ref="Y30:AA30"/>
    <mergeCell ref="AB30:AD30"/>
    <mergeCell ref="AE30:AG30"/>
    <mergeCell ref="V28:W28"/>
    <mergeCell ref="B29:C29"/>
    <mergeCell ref="D29:F29"/>
    <mergeCell ref="G29:H29"/>
    <mergeCell ref="I29:K29"/>
    <mergeCell ref="L29:M29"/>
    <mergeCell ref="Q29:R29"/>
    <mergeCell ref="V29:X29"/>
    <mergeCell ref="Y29:AA29"/>
    <mergeCell ref="A26:A27"/>
    <mergeCell ref="B26:C26"/>
    <mergeCell ref="E26:F26"/>
    <mergeCell ref="B27:C27"/>
    <mergeCell ref="E27:F27"/>
    <mergeCell ref="G27:U27"/>
    <mergeCell ref="B28:I28"/>
    <mergeCell ref="L28:M28"/>
    <mergeCell ref="O28:S28"/>
    <mergeCell ref="AE24:AG24"/>
    <mergeCell ref="B25:C25"/>
    <mergeCell ref="D25:F25"/>
    <mergeCell ref="G25:H25"/>
    <mergeCell ref="I25:K25"/>
    <mergeCell ref="L25:M25"/>
    <mergeCell ref="Q25:R25"/>
    <mergeCell ref="V25:X25"/>
    <mergeCell ref="Y25:AA25"/>
    <mergeCell ref="AB25:AC25"/>
    <mergeCell ref="AE25:AG25"/>
    <mergeCell ref="B24:C24"/>
    <mergeCell ref="D24:F24"/>
    <mergeCell ref="G24:H24"/>
    <mergeCell ref="I24:K24"/>
    <mergeCell ref="L24:M24"/>
    <mergeCell ref="Q24:R24"/>
    <mergeCell ref="V24:X24"/>
    <mergeCell ref="Y24:AA24"/>
    <mergeCell ref="AB24:AC24"/>
    <mergeCell ref="Y22:AA22"/>
    <mergeCell ref="AB22:AD22"/>
    <mergeCell ref="AE22:AG22"/>
    <mergeCell ref="B23:C23"/>
    <mergeCell ref="D23:F23"/>
    <mergeCell ref="G23:H23"/>
    <mergeCell ref="I23:K23"/>
    <mergeCell ref="L23:M23"/>
    <mergeCell ref="Q23:R23"/>
    <mergeCell ref="V23:X23"/>
    <mergeCell ref="Y23:AA23"/>
    <mergeCell ref="AB23:AD23"/>
    <mergeCell ref="AE23:AG23"/>
    <mergeCell ref="B21:I21"/>
    <mergeCell ref="L21:M21"/>
    <mergeCell ref="O21:S21"/>
    <mergeCell ref="V21:W21"/>
    <mergeCell ref="B22:C22"/>
    <mergeCell ref="D22:F22"/>
    <mergeCell ref="G22:H22"/>
    <mergeCell ref="I22:K22"/>
    <mergeCell ref="L22:M22"/>
    <mergeCell ref="Q22:R22"/>
    <mergeCell ref="V22:X22"/>
    <mergeCell ref="B20:C20"/>
    <mergeCell ref="E20:F20"/>
    <mergeCell ref="G20:H20"/>
    <mergeCell ref="L20:M20"/>
    <mergeCell ref="Q20:R20"/>
    <mergeCell ref="V20:X20"/>
    <mergeCell ref="Y20:AA20"/>
    <mergeCell ref="AB20:AD20"/>
    <mergeCell ref="AE20:AG20"/>
    <mergeCell ref="B19:C19"/>
    <mergeCell ref="E19:F19"/>
    <mergeCell ref="G19:H19"/>
    <mergeCell ref="L19:M19"/>
    <mergeCell ref="Q19:R19"/>
    <mergeCell ref="V19:X19"/>
    <mergeCell ref="Y19:AA19"/>
    <mergeCell ref="AB19:AD19"/>
    <mergeCell ref="AE19:AG19"/>
    <mergeCell ref="B18:C18"/>
    <mergeCell ref="E18:F18"/>
    <mergeCell ref="G18:H18"/>
    <mergeCell ref="L18:M18"/>
    <mergeCell ref="Q18:R18"/>
    <mergeCell ref="V18:X18"/>
    <mergeCell ref="Y18:AA18"/>
    <mergeCell ref="AB18:AD18"/>
    <mergeCell ref="AE18:AG18"/>
    <mergeCell ref="B17:C17"/>
    <mergeCell ref="E17:F17"/>
    <mergeCell ref="G17:H17"/>
    <mergeCell ref="L17:M17"/>
    <mergeCell ref="Q17:R17"/>
    <mergeCell ref="V17:X17"/>
    <mergeCell ref="Y17:AA17"/>
    <mergeCell ref="AB17:AD17"/>
    <mergeCell ref="AE17:AG17"/>
    <mergeCell ref="B16:C16"/>
    <mergeCell ref="E16:F16"/>
    <mergeCell ref="G16:H16"/>
    <mergeCell ref="L16:M16"/>
    <mergeCell ref="Q16:R16"/>
    <mergeCell ref="V16:X16"/>
    <mergeCell ref="Y16:AA16"/>
    <mergeCell ref="AB16:AD16"/>
    <mergeCell ref="AE16:AG16"/>
    <mergeCell ref="B15:C15"/>
    <mergeCell ref="E15:F15"/>
    <mergeCell ref="G15:H15"/>
    <mergeCell ref="L15:M15"/>
    <mergeCell ref="Q15:R15"/>
    <mergeCell ref="V15:X15"/>
    <mergeCell ref="Y15:AA15"/>
    <mergeCell ref="AB15:AD15"/>
    <mergeCell ref="AE15:AG15"/>
    <mergeCell ref="AE13:AG13"/>
    <mergeCell ref="B14:C14"/>
    <mergeCell ref="E14:F14"/>
    <mergeCell ref="G14:H14"/>
    <mergeCell ref="L14:M14"/>
    <mergeCell ref="Q14:R14"/>
    <mergeCell ref="V14:X14"/>
    <mergeCell ref="Y14:AA14"/>
    <mergeCell ref="AB14:AD14"/>
    <mergeCell ref="AE14:AG14"/>
    <mergeCell ref="B13:D13"/>
    <mergeCell ref="E13:F13"/>
    <mergeCell ref="G13:H13"/>
    <mergeCell ref="J13:K13"/>
    <mergeCell ref="L13:M13"/>
    <mergeCell ref="Q13:R13"/>
    <mergeCell ref="V13:X13"/>
    <mergeCell ref="Y13:AA13"/>
    <mergeCell ref="AB13:AD13"/>
    <mergeCell ref="V10:AG11"/>
    <mergeCell ref="B11:F12"/>
    <mergeCell ref="G11:K12"/>
    <mergeCell ref="L11:P11"/>
    <mergeCell ref="Q11:U11"/>
    <mergeCell ref="L12:N12"/>
    <mergeCell ref="O12:P12"/>
    <mergeCell ref="Q12:S12"/>
    <mergeCell ref="T12:U12"/>
    <mergeCell ref="V12:X12"/>
    <mergeCell ref="Y12:AA12"/>
    <mergeCell ref="AB12:AD12"/>
    <mergeCell ref="AE12:AG12"/>
    <mergeCell ref="B8:D8"/>
    <mergeCell ref="E8:M8"/>
    <mergeCell ref="N8:P8"/>
    <mergeCell ref="B9:D9"/>
    <mergeCell ref="E9:M9"/>
    <mergeCell ref="N9:P9"/>
    <mergeCell ref="A10:A12"/>
    <mergeCell ref="B10:I10"/>
    <mergeCell ref="L10:U10"/>
    <mergeCell ref="B1:O1"/>
    <mergeCell ref="A2:W2"/>
    <mergeCell ref="B3:M3"/>
    <mergeCell ref="N3:P3"/>
    <mergeCell ref="A4:A7"/>
    <mergeCell ref="B4:D4"/>
    <mergeCell ref="E4:M4"/>
    <mergeCell ref="N4:P4"/>
    <mergeCell ref="B5:D5"/>
    <mergeCell ref="E5:M5"/>
    <mergeCell ref="N5:P7"/>
    <mergeCell ref="B6:D6"/>
    <mergeCell ref="E6:M6"/>
    <mergeCell ref="B7:D7"/>
    <mergeCell ref="E7:M7"/>
  </mergeCells>
  <hyperlinks>
    <hyperlink ref="L21:M21" location="'ΠΛΑΣΤ. ΦΙΑΛΕΣ ΠΟΤΩΝ ΜΙΑΣ ΧΡΗΣΗΣ'!L15" display="ΝΑΙ" xr:uid="{00000000-0004-0000-0000-000000000000}"/>
    <hyperlink ref="N21" location="'ΦΥΛΛΟ ΧΡΗΜΑΤΙΚΗΣ ΕΙΣΦΟΡΑΣ'!B38" display="ΟΧΙ" xr:uid="{00000000-0004-0000-0000-000001000000}"/>
    <hyperlink ref="T21" location="'ΚΥΠΕΛ. ΠΕΡΙΕΚΤ. ΤΡΟΦ. ΠΟΤΩΝ ΜΧ'!K9" display="ΝΑΙ" xr:uid="{00000000-0004-0000-0000-000002000000}"/>
    <hyperlink ref="U21" location="'ΦΥΛΛΟ ΧΡΗΜΑΤΙΚΗΣ ΕΙΣΦΟΡΑΣ'!B38" display="ΟΧΙ" xr:uid="{00000000-0004-0000-0000-000003000000}"/>
    <hyperlink ref="L28:M28" location="'ΠΛΑΣΤ. ΦΙΑΛΕΣ ΠΟΤΩΝ ΜΙΑΣ ΧΡΗΣΗΣ'!L15" display="ΝΑΙ" xr:uid="{00000000-0004-0000-0000-000004000000}"/>
    <hyperlink ref="N28" location="'ΦΥΛΛΟ ΧΡΗΜΑΤΙΚΗΣ ΕΙΣΦΟΡΑΣ'!B45" display="ΟΧΙ" xr:uid="{00000000-0004-0000-0000-000005000000}"/>
    <hyperlink ref="T28" location="'ΚΥΠΕΛ. ΠΕΡΙΕΚΤ. ΤΡΟΦ. ΠΟΤΩΝ ΜΧ'!K9" display="ΝΑΙ" xr:uid="{00000000-0004-0000-0000-000006000000}"/>
    <hyperlink ref="U28" location="'ΦΥΛΛΟ ΧΡΗΜΑΤΙΚΗΣ ΕΙΣΦΟΡΑΣ'!B45" display="ΟΧΙ" xr:uid="{00000000-0004-0000-0000-000007000000}"/>
    <hyperlink ref="L35:M35" location="'ΠΛΑΣΤ. ΦΙΑΛΕΣ ΠΟΤΩΝ ΜΙΑΣ ΧΡΗΣΗΣ'!L15" display="ΝΑΙ" xr:uid="{00000000-0004-0000-0000-000008000000}"/>
    <hyperlink ref="N35" location="'ΦΥΛΛΟ ΧΡΗΜΑΤΙΚΗΣ ΕΙΣΦΟΡΑΣ'!B52" display="ΟΧΙ" xr:uid="{00000000-0004-0000-0000-000009000000}"/>
    <hyperlink ref="T35" location="'ΚΥΠΕΛ. ΠΕΡΙΕΚΤ. ΤΡΟΦ. ΠΟΤΩΝ ΜΧ'!K9" display="ΝΑΙ" xr:uid="{00000000-0004-0000-0000-00000A000000}"/>
    <hyperlink ref="U35" location="'ΦΥΛΛΟ ΧΡΗΜΑΤΙΚΗΣ ΕΙΣΦΟΡΑΣ'!B52" display="ΟΧΙ" xr:uid="{00000000-0004-0000-0000-00000B000000}"/>
    <hyperlink ref="L42:M42" location="'ΠΛΑΣΤ. ΦΙΑΛΕΣ ΠΟΤΩΝ ΜΙΑΣ ΧΡΗΣΗΣ'!L15" display="ΝΑΙ" xr:uid="{00000000-0004-0000-0000-00000C000000}"/>
    <hyperlink ref="N42" location="'ΦΥΛΛΟ ΧΡΗΜΑΤΙΚΗΣ ΕΙΣΦΟΡΑΣ'!B59" display="ΟΧΙ" xr:uid="{00000000-0004-0000-0000-00000D000000}"/>
    <hyperlink ref="T42" location="'ΚΥΠΕΛ. ΠΕΡΙΕΚΤ. ΤΡΟΦ. ΠΟΤΩΝ ΜΧ'!K9" display="ΝΑΙ" xr:uid="{00000000-0004-0000-0000-00000E000000}"/>
    <hyperlink ref="U42" location="'ΦΥΛΛΟ ΧΡΗΜΑΤΙΚΗΣ ΕΙΣΦΟΡΑΣ'!B59" display="ΟΧΙ" xr:uid="{00000000-0004-0000-0000-00000F000000}"/>
    <hyperlink ref="L49:M49" location="'ΠΛΑΣΤ. ΦΙΑΛΕΣ ΠΟΤΩΝ ΜΙΑΣ ΧΡΗΣΗΣ'!L15" display="ΝΑΙ" xr:uid="{00000000-0004-0000-0000-000010000000}"/>
    <hyperlink ref="N49" location="'ΦΥΛΛΟ ΧΡΗΜΑΤΙΚΗΣ ΕΙΣΦΟΡΑΣ'!B66" display="ΟΧΙ" xr:uid="{00000000-0004-0000-0000-000011000000}"/>
    <hyperlink ref="T49" location="'ΚΥΠΕΛ. ΠΕΡΙΕΚΤ. ΤΡΟΦ. ΠΟΤΩΝ ΜΧ'!K9" display="ΝΑΙ" xr:uid="{00000000-0004-0000-0000-000012000000}"/>
    <hyperlink ref="U49" location="'ΦΥΛΛΟ ΧΡΗΜΑΤΙΚΗΣ ΕΙΣΦΟΡΑΣ'!B66" display="ΟΧΙ" xr:uid="{00000000-0004-0000-0000-000013000000}"/>
    <hyperlink ref="L56:M56" location="'ΠΛΑΣΤ. ΦΙΑΛΕΣ ΠΟΤΩΝ ΜΙΑΣ ΧΡΗΣΗΣ'!L15" display="ΝΑΙ" xr:uid="{00000000-0004-0000-0000-000014000000}"/>
    <hyperlink ref="N56" location="'ΦΥΛΛΟ ΧΡΗΜΑΤΙΚΗΣ ΕΙΣΦΟΡΑΣ'!B73" display="ΟΧΙ" xr:uid="{00000000-0004-0000-0000-000015000000}"/>
    <hyperlink ref="T56" location="'ΚΥΠΕΛ. ΠΕΡΙΕΚΤ. ΤΡΟΦ. ΠΟΤΩΝ ΜΧ'!K9" display="ΝΑΙ" xr:uid="{00000000-0004-0000-0000-000016000000}"/>
    <hyperlink ref="U56" location="'ΦΥΛΛΟ ΧΡΗΜΑΤΙΚΗΣ ΕΙΣΦΟΡΑΣ'!B73" display="ΟΧΙ" xr:uid="{00000000-0004-0000-0000-000017000000}"/>
    <hyperlink ref="L63:M63" location="'ΠΛΑΣΤ. ΦΙΑΛΕΣ ΠΟΤΩΝ ΜΙΑΣ ΧΡΗΣΗΣ'!L15" display="ΝΑΙ" xr:uid="{00000000-0004-0000-0000-000018000000}"/>
    <hyperlink ref="N63" location="'ΦΥΛΛΟ ΧΡΗΜΑΤΙΚΗΣ ΕΙΣΦΟΡΑΣ'!B80" display="ΟΧΙ" xr:uid="{00000000-0004-0000-0000-000019000000}"/>
    <hyperlink ref="T63" location="'ΚΥΠΕΛ. ΠΕΡΙΕΚΤ. ΤΡΟΦ. ΠΟΤΩΝ ΜΧ'!K9" display="ΝΑΙ" xr:uid="{00000000-0004-0000-0000-00001A000000}"/>
    <hyperlink ref="U63" location="'ΦΥΛΛΟ ΧΡΗΜΑΤΙΚΗΣ ΕΙΣΦΟΡΑΣ'!B80" display="ΟΧΙ" xr:uid="{00000000-0004-0000-0000-00001B000000}"/>
    <hyperlink ref="L72:M72" location="'ΠΛΑΣΤ. ΦΙΑΛΕΣ ΠΟΤΩΝ ΜΙΑΣ ΧΡΗΣΗΣ'!L15" display="ΝΑΙ" xr:uid="{00000000-0004-0000-0000-00001C000000}"/>
    <hyperlink ref="N72" location="'ΦΥΛΛΟ ΧΡΗΜΑΤΙΚΗΣ ΕΙΣΦΟΡΑΣ'!B89" display="ΟΧΙ" xr:uid="{00000000-0004-0000-0000-00001D000000}"/>
    <hyperlink ref="T72" location="'ΚΥΠΕΛ. ΠΕΡΙΕΚΤ. ΤΡΟΦ. ΠΟΤΩΝ ΜΧ'!K9" display="ΝΑΙ" xr:uid="{00000000-0004-0000-0000-00001E000000}"/>
    <hyperlink ref="U72" location="'ΦΥΛΛΟ ΧΡΗΜΑΤΙΚΗΣ ΕΙΣΦΟΡΑΣ'!B89" display="ΟΧΙ" xr:uid="{00000000-0004-0000-0000-00001F000000}"/>
  </hyperlinks>
  <pageMargins left="0.70866141732283472" right="0.70866141732283472" top="0.74803149606299213" bottom="0.74803149606299213" header="0.31496062992125984" footer="0.31496062992125984"/>
  <pageSetup paperSize="9" fitToWidth="10" fitToHeight="1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70"/>
  <sheetViews>
    <sheetView topLeftCell="B1" workbookViewId="0">
      <selection activeCell="D8" sqref="D8:S18"/>
    </sheetView>
  </sheetViews>
  <sheetFormatPr defaultRowHeight="14.5" x14ac:dyDescent="0.35"/>
  <cols>
    <col min="19" max="19" width="14.1796875" customWidth="1"/>
  </cols>
  <sheetData>
    <row r="1" spans="1:29" ht="27" customHeight="1" x14ac:dyDescent="0.35">
      <c r="A1" s="3"/>
      <c r="B1" s="3"/>
      <c r="C1" s="3"/>
      <c r="D1" s="53" t="s">
        <v>169</v>
      </c>
      <c r="E1" s="53"/>
      <c r="F1" s="53"/>
      <c r="G1" s="53"/>
      <c r="H1" s="53"/>
      <c r="I1" s="53"/>
      <c r="J1" s="53"/>
      <c r="K1" s="53"/>
      <c r="L1" s="53"/>
      <c r="M1" s="53"/>
      <c r="N1" s="53"/>
      <c r="O1" s="53"/>
      <c r="P1" s="53"/>
      <c r="Q1" s="53"/>
      <c r="R1" s="53"/>
      <c r="S1" s="53"/>
      <c r="T1" s="3"/>
      <c r="U1" s="3"/>
      <c r="V1" s="3"/>
      <c r="W1" s="3"/>
      <c r="X1" s="3"/>
      <c r="Y1" s="3"/>
      <c r="Z1" s="3"/>
      <c r="AA1" s="3"/>
      <c r="AB1" s="3"/>
      <c r="AC1" s="3"/>
    </row>
    <row r="2" spans="1:29" x14ac:dyDescent="0.35">
      <c r="A2" s="3"/>
      <c r="B2" s="3"/>
      <c r="C2" s="3"/>
      <c r="D2" s="53" t="s">
        <v>170</v>
      </c>
      <c r="E2" s="53"/>
      <c r="F2" s="53"/>
      <c r="G2" s="53"/>
      <c r="H2" s="53"/>
      <c r="I2" s="53"/>
      <c r="J2" s="53"/>
      <c r="K2" s="53"/>
      <c r="L2" s="53"/>
      <c r="M2" s="53"/>
      <c r="N2" s="53"/>
      <c r="O2" s="53"/>
      <c r="P2" s="53"/>
      <c r="Q2" s="53"/>
      <c r="R2" s="53"/>
      <c r="S2" s="53"/>
      <c r="T2" s="3"/>
      <c r="U2" s="3"/>
      <c r="V2" s="3"/>
      <c r="W2" s="3"/>
      <c r="X2" s="3"/>
      <c r="Y2" s="3"/>
      <c r="Z2" s="3"/>
      <c r="AA2" s="3"/>
      <c r="AB2" s="3"/>
      <c r="AC2" s="3"/>
    </row>
    <row r="3" spans="1:29" x14ac:dyDescent="0.35">
      <c r="A3" s="3"/>
      <c r="B3" s="3"/>
      <c r="C3" s="3"/>
      <c r="D3" s="53" t="s">
        <v>171</v>
      </c>
      <c r="E3" s="53"/>
      <c r="F3" s="53"/>
      <c r="G3" s="53"/>
      <c r="H3" s="53"/>
      <c r="I3" s="53"/>
      <c r="J3" s="53"/>
      <c r="K3" s="53"/>
      <c r="L3" s="53"/>
      <c r="M3" s="53"/>
      <c r="N3" s="53"/>
      <c r="O3" s="53"/>
      <c r="P3" s="53"/>
      <c r="Q3" s="53"/>
      <c r="R3" s="53"/>
      <c r="S3" s="53"/>
      <c r="T3" s="3"/>
      <c r="U3" s="3"/>
      <c r="V3" s="3"/>
      <c r="W3" s="3"/>
      <c r="X3" s="3"/>
      <c r="Y3" s="3"/>
      <c r="Z3" s="3"/>
      <c r="AA3" s="3"/>
      <c r="AB3" s="3"/>
      <c r="AC3" s="3"/>
    </row>
    <row r="4" spans="1:29" x14ac:dyDescent="0.35">
      <c r="A4" s="3"/>
      <c r="B4" s="3"/>
      <c r="C4" s="54"/>
      <c r="D4" s="53" t="s">
        <v>172</v>
      </c>
      <c r="E4" s="53"/>
      <c r="F4" s="53"/>
      <c r="G4" s="53"/>
      <c r="H4" s="53"/>
      <c r="I4" s="53"/>
      <c r="J4" s="53"/>
      <c r="K4" s="53"/>
      <c r="L4" s="53"/>
      <c r="M4" s="53"/>
      <c r="N4" s="53"/>
      <c r="O4" s="53"/>
      <c r="P4" s="53"/>
      <c r="Q4" s="53"/>
      <c r="R4" s="53"/>
      <c r="S4" s="53"/>
      <c r="T4" s="3"/>
      <c r="U4" s="3"/>
      <c r="V4" s="3"/>
      <c r="W4" s="3"/>
      <c r="X4" s="3"/>
      <c r="Y4" s="3"/>
      <c r="Z4" s="3"/>
      <c r="AA4" s="3"/>
      <c r="AB4" s="3"/>
      <c r="AC4" s="3"/>
    </row>
    <row r="5" spans="1:29" x14ac:dyDescent="0.35">
      <c r="A5" s="3"/>
      <c r="B5" s="3"/>
      <c r="C5" s="3"/>
      <c r="D5" s="53" t="s">
        <v>173</v>
      </c>
      <c r="E5" s="53"/>
      <c r="F5" s="53"/>
      <c r="G5" s="53"/>
      <c r="H5" s="53"/>
      <c r="I5" s="53"/>
      <c r="J5" s="53"/>
      <c r="K5" s="53"/>
      <c r="L5" s="53"/>
      <c r="M5" s="53"/>
      <c r="N5" s="53"/>
      <c r="O5" s="53"/>
      <c r="P5" s="53"/>
      <c r="Q5" s="53"/>
      <c r="R5" s="53"/>
      <c r="S5" s="53"/>
      <c r="T5" s="3"/>
      <c r="U5" s="3"/>
      <c r="V5" s="3"/>
      <c r="W5" s="3"/>
      <c r="X5" s="3"/>
      <c r="Y5" s="3"/>
      <c r="Z5" s="3"/>
      <c r="AA5" s="3"/>
      <c r="AB5" s="3"/>
      <c r="AC5" s="3"/>
    </row>
    <row r="6" spans="1:29" ht="7.5" customHeight="1" x14ac:dyDescent="0.35">
      <c r="A6" s="3"/>
      <c r="B6" s="3"/>
      <c r="C6" s="3"/>
      <c r="D6" s="3"/>
      <c r="E6" s="3"/>
      <c r="F6" s="3"/>
      <c r="G6" s="3"/>
      <c r="H6" s="3"/>
      <c r="I6" s="3"/>
      <c r="J6" s="3"/>
      <c r="K6" s="3"/>
      <c r="L6" s="3"/>
      <c r="M6" s="3"/>
      <c r="N6" s="3"/>
      <c r="O6" s="3"/>
      <c r="P6" s="3"/>
      <c r="Q6" s="3"/>
      <c r="R6" s="3"/>
      <c r="S6" s="3"/>
      <c r="T6" s="3"/>
      <c r="U6" s="3"/>
      <c r="V6" s="3"/>
      <c r="W6" s="3"/>
      <c r="X6" s="3"/>
      <c r="Y6" s="3"/>
      <c r="Z6" s="3"/>
      <c r="AA6" s="3"/>
      <c r="AB6" s="3"/>
      <c r="AC6" s="3"/>
    </row>
    <row r="7" spans="1:29" hidden="1" x14ac:dyDescent="0.35">
      <c r="A7" s="3"/>
      <c r="B7" s="3"/>
      <c r="C7" s="3"/>
      <c r="D7" s="3"/>
      <c r="E7" s="3"/>
      <c r="F7" s="3"/>
      <c r="G7" s="3"/>
      <c r="H7" s="3"/>
      <c r="I7" s="3"/>
      <c r="J7" s="3"/>
      <c r="K7" s="3"/>
      <c r="L7" s="3"/>
      <c r="M7" s="3"/>
      <c r="N7" s="3"/>
      <c r="O7" s="3"/>
      <c r="P7" s="3"/>
      <c r="Q7" s="3"/>
      <c r="R7" s="3"/>
      <c r="S7" s="3"/>
      <c r="T7" s="3"/>
      <c r="U7" s="3"/>
      <c r="V7" s="3"/>
      <c r="W7" s="3"/>
      <c r="X7" s="3"/>
      <c r="Y7" s="3"/>
      <c r="Z7" s="3"/>
      <c r="AA7" s="3"/>
      <c r="AB7" s="3"/>
      <c r="AC7" s="3"/>
    </row>
    <row r="8" spans="1:29" ht="34.5" customHeight="1" x14ac:dyDescent="0.35">
      <c r="A8" s="3"/>
      <c r="B8" s="3"/>
      <c r="C8" s="3"/>
      <c r="D8" s="155" t="s">
        <v>174</v>
      </c>
      <c r="E8" s="155"/>
      <c r="F8" s="155"/>
      <c r="G8" s="155"/>
      <c r="H8" s="155"/>
      <c r="I8" s="155"/>
      <c r="J8" s="155"/>
      <c r="K8" s="155"/>
      <c r="L8" s="155"/>
      <c r="M8" s="155"/>
      <c r="N8" s="155"/>
      <c r="O8" s="155"/>
      <c r="P8" s="155"/>
      <c r="Q8" s="155"/>
      <c r="R8" s="3"/>
      <c r="S8" s="3"/>
      <c r="T8" s="3"/>
      <c r="U8" s="3"/>
      <c r="V8" s="3"/>
      <c r="W8" s="3"/>
      <c r="X8" s="3"/>
      <c r="Y8" s="3"/>
      <c r="Z8" s="3"/>
      <c r="AA8" s="3"/>
      <c r="AB8" s="3"/>
      <c r="AC8" s="3"/>
    </row>
    <row r="9" spans="1:29" x14ac:dyDescent="0.35">
      <c r="A9" s="3"/>
      <c r="B9" s="3"/>
      <c r="C9" s="3"/>
      <c r="D9" s="3"/>
      <c r="E9" s="3"/>
      <c r="F9" s="3"/>
      <c r="G9" s="3"/>
      <c r="H9" s="3"/>
      <c r="I9" s="3"/>
      <c r="J9" s="3"/>
      <c r="K9" s="3"/>
      <c r="L9" s="3"/>
      <c r="M9" s="3"/>
      <c r="N9" s="3"/>
      <c r="O9" s="3"/>
      <c r="P9" s="3"/>
      <c r="Q9" s="3"/>
      <c r="R9" s="3"/>
      <c r="S9" s="3"/>
      <c r="T9" s="3"/>
      <c r="U9" s="3"/>
      <c r="V9" s="3"/>
      <c r="W9" s="3"/>
      <c r="X9" s="3"/>
      <c r="Y9" s="3"/>
      <c r="Z9" s="3"/>
      <c r="AA9" s="3"/>
      <c r="AB9" s="3"/>
      <c r="AC9" s="3"/>
    </row>
    <row r="10" spans="1:29" x14ac:dyDescent="0.35">
      <c r="A10" s="3"/>
      <c r="B10" s="3"/>
      <c r="C10" s="3"/>
      <c r="D10" s="55" t="s">
        <v>175</v>
      </c>
      <c r="E10" s="3"/>
      <c r="F10" s="3"/>
      <c r="G10" s="3"/>
      <c r="H10" s="3"/>
      <c r="I10" s="3"/>
      <c r="J10" s="3"/>
      <c r="K10" s="3"/>
      <c r="L10" s="3"/>
      <c r="M10" s="3"/>
      <c r="N10" s="3"/>
      <c r="O10" s="3"/>
      <c r="P10" s="3"/>
      <c r="Q10" s="3"/>
      <c r="R10" s="3"/>
      <c r="S10" s="3"/>
      <c r="T10" s="3"/>
      <c r="U10" s="3"/>
      <c r="V10" s="3"/>
      <c r="W10" s="3"/>
      <c r="X10" s="3"/>
      <c r="Y10" s="3"/>
      <c r="Z10" s="3"/>
      <c r="AA10" s="3"/>
      <c r="AB10" s="3"/>
      <c r="AC10" s="3"/>
    </row>
    <row r="11" spans="1:29" x14ac:dyDescent="0.35">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spans="1:29" ht="15" customHeight="1" x14ac:dyDescent="0.35">
      <c r="A12" s="3"/>
      <c r="B12" s="3"/>
      <c r="C12" s="3"/>
      <c r="D12" s="138"/>
      <c r="E12" s="138"/>
      <c r="F12" s="138"/>
      <c r="G12" s="138"/>
      <c r="H12" s="138"/>
      <c r="I12" s="138"/>
      <c r="J12" s="138"/>
      <c r="K12" s="138"/>
      <c r="L12" s="76" t="s">
        <v>176</v>
      </c>
      <c r="M12" s="76"/>
      <c r="N12" s="156" t="s">
        <v>177</v>
      </c>
      <c r="O12" s="156"/>
      <c r="P12" s="156"/>
      <c r="Q12" s="156"/>
      <c r="R12" s="74" t="s">
        <v>178</v>
      </c>
      <c r="S12" s="74"/>
      <c r="T12" s="3"/>
      <c r="U12" s="3"/>
      <c r="V12" s="3"/>
      <c r="W12" s="3"/>
      <c r="X12" s="3"/>
      <c r="Y12" s="3"/>
      <c r="Z12" s="3"/>
      <c r="AA12" s="3"/>
      <c r="AB12" s="3"/>
      <c r="AC12" s="3"/>
    </row>
    <row r="13" spans="1:29" ht="30.75" customHeight="1" x14ac:dyDescent="0.35">
      <c r="A13" s="3"/>
      <c r="B13" s="3"/>
      <c r="C13" s="3"/>
      <c r="D13" s="138"/>
      <c r="E13" s="138"/>
      <c r="F13" s="138"/>
      <c r="G13" s="138"/>
      <c r="H13" s="138"/>
      <c r="I13" s="138"/>
      <c r="J13" s="138"/>
      <c r="K13" s="138"/>
      <c r="L13" s="76"/>
      <c r="M13" s="76"/>
      <c r="N13" s="156"/>
      <c r="O13" s="156"/>
      <c r="P13" s="156"/>
      <c r="Q13" s="156"/>
      <c r="R13" s="74"/>
      <c r="S13" s="74"/>
      <c r="T13" s="3"/>
      <c r="U13" s="3"/>
      <c r="V13" s="3"/>
      <c r="W13" s="3"/>
      <c r="X13" s="3"/>
      <c r="Y13" s="3"/>
      <c r="Z13" s="3"/>
      <c r="AA13" s="3"/>
      <c r="AB13" s="3"/>
      <c r="AC13" s="3"/>
    </row>
    <row r="14" spans="1:29" x14ac:dyDescent="0.35">
      <c r="A14" s="3"/>
      <c r="B14" s="3"/>
      <c r="C14" s="3"/>
      <c r="D14" s="138"/>
      <c r="E14" s="138"/>
      <c r="F14" s="138"/>
      <c r="G14" s="138"/>
      <c r="H14" s="138"/>
      <c r="I14" s="138"/>
      <c r="J14" s="138"/>
      <c r="K14" s="138"/>
      <c r="L14" s="139"/>
      <c r="M14" s="140"/>
      <c r="N14" s="139"/>
      <c r="O14" s="141"/>
      <c r="P14" s="141"/>
      <c r="Q14" s="140"/>
      <c r="R14" s="138" t="s">
        <v>179</v>
      </c>
      <c r="S14" s="138"/>
      <c r="T14" s="3"/>
      <c r="U14" s="3"/>
      <c r="V14" s="3"/>
      <c r="W14" s="3"/>
      <c r="X14" s="3"/>
      <c r="Y14" s="3"/>
      <c r="Z14" s="3"/>
      <c r="AA14" s="3"/>
      <c r="AB14" s="3"/>
      <c r="AC14" s="3"/>
    </row>
    <row r="15" spans="1:29" x14ac:dyDescent="0.35">
      <c r="A15" s="3"/>
      <c r="B15" s="3"/>
      <c r="C15" s="3"/>
      <c r="D15" s="150" t="s">
        <v>180</v>
      </c>
      <c r="E15" s="150"/>
      <c r="F15" s="150"/>
      <c r="G15" s="150"/>
      <c r="H15" s="150"/>
      <c r="I15" s="150"/>
      <c r="J15" s="150"/>
      <c r="K15" s="150"/>
      <c r="L15" s="151"/>
      <c r="M15" s="152"/>
      <c r="N15" s="142"/>
      <c r="O15" s="143"/>
      <c r="P15" s="143"/>
      <c r="Q15" s="144"/>
      <c r="R15" s="149"/>
      <c r="S15" s="149"/>
      <c r="T15" s="3"/>
      <c r="U15" s="3"/>
      <c r="V15" s="3"/>
      <c r="W15" s="3"/>
      <c r="X15" s="3"/>
      <c r="Y15" s="3"/>
      <c r="Z15" s="3"/>
      <c r="AA15" s="3"/>
      <c r="AB15" s="3"/>
      <c r="AC15" s="3"/>
    </row>
    <row r="16" spans="1:29" x14ac:dyDescent="0.35">
      <c r="A16" s="3"/>
      <c r="B16" s="3"/>
      <c r="C16" s="3"/>
      <c r="D16" s="150"/>
      <c r="E16" s="150"/>
      <c r="F16" s="150"/>
      <c r="G16" s="150"/>
      <c r="H16" s="150"/>
      <c r="I16" s="150"/>
      <c r="J16" s="150"/>
      <c r="K16" s="150"/>
      <c r="L16" s="153"/>
      <c r="M16" s="154"/>
      <c r="N16" s="145"/>
      <c r="O16" s="146"/>
      <c r="P16" s="146"/>
      <c r="Q16" s="147"/>
      <c r="R16" s="149"/>
      <c r="S16" s="149"/>
      <c r="T16" s="3"/>
      <c r="U16" s="3"/>
      <c r="V16" s="3"/>
      <c r="W16" s="3"/>
      <c r="X16" s="3"/>
      <c r="Y16" s="3"/>
      <c r="Z16" s="3"/>
      <c r="AA16" s="3"/>
      <c r="AB16" s="3"/>
      <c r="AC16" s="3"/>
    </row>
    <row r="17" spans="1:29" x14ac:dyDescent="0.35">
      <c r="A17" s="3"/>
      <c r="B17" s="3"/>
      <c r="C17" s="3"/>
      <c r="D17" s="148" t="s">
        <v>181</v>
      </c>
      <c r="E17" s="148"/>
      <c r="F17" s="148"/>
      <c r="G17" s="148"/>
      <c r="H17" s="148"/>
      <c r="I17" s="148"/>
      <c r="J17" s="148"/>
      <c r="K17" s="148"/>
      <c r="L17" s="149"/>
      <c r="M17" s="149"/>
      <c r="N17" s="149"/>
      <c r="O17" s="149"/>
      <c r="P17" s="149"/>
      <c r="Q17" s="149"/>
      <c r="R17" s="149"/>
      <c r="S17" s="149"/>
      <c r="T17" s="3"/>
      <c r="U17" s="3"/>
      <c r="V17" s="3"/>
      <c r="W17" s="3"/>
      <c r="X17" s="3"/>
      <c r="Y17" s="3"/>
      <c r="Z17" s="3"/>
      <c r="AA17" s="3"/>
      <c r="AB17" s="3"/>
      <c r="AC17" s="3"/>
    </row>
    <row r="18" spans="1:29" x14ac:dyDescent="0.35">
      <c r="A18" s="3"/>
      <c r="B18" s="3"/>
      <c r="C18" s="3"/>
      <c r="D18" s="148"/>
      <c r="E18" s="148"/>
      <c r="F18" s="148"/>
      <c r="G18" s="148"/>
      <c r="H18" s="148"/>
      <c r="I18" s="148"/>
      <c r="J18" s="148"/>
      <c r="K18" s="148"/>
      <c r="L18" s="149"/>
      <c r="M18" s="149"/>
      <c r="N18" s="149"/>
      <c r="O18" s="149"/>
      <c r="P18" s="149"/>
      <c r="Q18" s="149"/>
      <c r="R18" s="149"/>
      <c r="S18" s="149"/>
      <c r="T18" s="3"/>
      <c r="U18" s="3"/>
      <c r="V18" s="3"/>
      <c r="W18" s="3"/>
      <c r="X18" s="3"/>
      <c r="Y18" s="3"/>
      <c r="Z18" s="3"/>
      <c r="AA18" s="3"/>
      <c r="AB18" s="3"/>
      <c r="AC18" s="3"/>
    </row>
    <row r="19" spans="1:29" x14ac:dyDescent="0.3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spans="1:29" x14ac:dyDescent="0.35">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spans="1:29" x14ac:dyDescent="0.35">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spans="1:29" x14ac:dyDescent="0.35">
      <c r="A22" s="3"/>
      <c r="B22" s="3"/>
      <c r="C22" s="3"/>
      <c r="D22" s="3" t="s">
        <v>182</v>
      </c>
      <c r="E22" s="3"/>
      <c r="F22" s="3"/>
      <c r="G22" s="56" t="s">
        <v>183</v>
      </c>
      <c r="H22" s="3" t="s">
        <v>184</v>
      </c>
      <c r="I22" s="3"/>
      <c r="J22" s="3"/>
      <c r="K22" s="3"/>
      <c r="L22" s="3"/>
      <c r="M22" s="3"/>
      <c r="N22" s="3"/>
      <c r="O22" s="3"/>
      <c r="P22" s="3"/>
      <c r="Q22" s="3"/>
      <c r="R22" s="3"/>
      <c r="S22" s="3"/>
      <c r="T22" s="3"/>
      <c r="U22" s="3"/>
      <c r="V22" s="3"/>
      <c r="W22" s="3"/>
      <c r="X22" s="3"/>
      <c r="Y22" s="3"/>
      <c r="Z22" s="3"/>
      <c r="AA22" s="3"/>
      <c r="AB22" s="3"/>
      <c r="AC22" s="3"/>
    </row>
    <row r="23" spans="1:29" ht="50.25" customHeight="1" x14ac:dyDescent="0.35">
      <c r="A23" s="3"/>
      <c r="B23" s="3"/>
      <c r="C23" s="3"/>
      <c r="D23" s="3"/>
      <c r="E23" s="3"/>
      <c r="F23" s="3"/>
      <c r="G23" s="56" t="s">
        <v>185</v>
      </c>
      <c r="H23" s="133" t="s">
        <v>186</v>
      </c>
      <c r="I23" s="133"/>
      <c r="J23" s="133"/>
      <c r="K23" s="133"/>
      <c r="L23" s="133"/>
      <c r="M23" s="133"/>
      <c r="N23" s="133"/>
      <c r="O23" s="133"/>
      <c r="P23" s="133"/>
      <c r="Q23" s="133"/>
      <c r="R23" s="133"/>
      <c r="S23" s="3"/>
      <c r="T23" s="3"/>
      <c r="U23" s="3"/>
      <c r="V23" s="3"/>
      <c r="W23" s="3"/>
      <c r="X23" s="3"/>
      <c r="Y23" s="3"/>
      <c r="Z23" s="3"/>
      <c r="AA23" s="3"/>
      <c r="AB23" s="3"/>
      <c r="AC23" s="3"/>
    </row>
    <row r="24" spans="1:29" x14ac:dyDescent="0.35">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row>
    <row r="25" spans="1:29" x14ac:dyDescent="0.35">
      <c r="A25" s="3"/>
      <c r="B25" s="3"/>
      <c r="C25" s="3"/>
      <c r="D25" s="57" t="s">
        <v>187</v>
      </c>
      <c r="E25" s="3"/>
      <c r="F25" s="3"/>
      <c r="G25" s="3"/>
      <c r="H25" s="3"/>
      <c r="I25" s="3"/>
      <c r="J25" s="3"/>
      <c r="K25" s="3"/>
      <c r="L25" s="3"/>
      <c r="M25" s="3"/>
      <c r="N25" s="3"/>
      <c r="O25" s="3"/>
      <c r="P25" s="3"/>
      <c r="Q25" s="3"/>
      <c r="R25" s="3"/>
      <c r="S25" s="3"/>
      <c r="T25" s="3"/>
      <c r="U25" s="3"/>
      <c r="V25" s="3"/>
      <c r="W25" s="3"/>
      <c r="X25" s="3"/>
      <c r="Y25" s="3"/>
      <c r="Z25" s="3"/>
      <c r="AA25" s="3"/>
      <c r="AB25" s="3"/>
      <c r="AC25" s="3"/>
    </row>
    <row r="26" spans="1:29" x14ac:dyDescent="0.3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row>
    <row r="27" spans="1:29" x14ac:dyDescent="0.35">
      <c r="A27" s="3"/>
      <c r="B27" s="3"/>
      <c r="C27" s="3"/>
      <c r="D27" s="3" t="s">
        <v>188</v>
      </c>
      <c r="E27" s="3"/>
      <c r="F27" s="3"/>
      <c r="G27" s="3"/>
      <c r="H27" s="3"/>
      <c r="I27" s="3"/>
      <c r="J27" s="3"/>
      <c r="K27" s="3"/>
      <c r="L27" s="3"/>
      <c r="M27" s="3"/>
      <c r="N27" s="3"/>
      <c r="O27" s="3"/>
      <c r="P27" s="3"/>
      <c r="Q27" s="3"/>
      <c r="R27" s="3"/>
      <c r="S27" s="3"/>
      <c r="T27" s="3"/>
      <c r="U27" s="3"/>
      <c r="V27" s="3"/>
      <c r="W27" s="3"/>
      <c r="X27" s="3"/>
      <c r="Y27" s="3"/>
      <c r="Z27" s="3"/>
      <c r="AA27" s="3"/>
      <c r="AB27" s="3"/>
      <c r="AC27" s="3"/>
    </row>
    <row r="28" spans="1:29" x14ac:dyDescent="0.35">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row>
    <row r="29" spans="1:29" x14ac:dyDescent="0.35">
      <c r="A29" s="3"/>
      <c r="B29" s="3"/>
      <c r="C29" s="3"/>
      <c r="D29" s="137" t="s">
        <v>189</v>
      </c>
      <c r="E29" s="133" t="s">
        <v>190</v>
      </c>
      <c r="F29" s="133"/>
      <c r="G29" s="133"/>
      <c r="H29" s="133"/>
      <c r="I29" s="133"/>
      <c r="J29" s="133"/>
      <c r="K29" s="133"/>
      <c r="L29" s="133"/>
      <c r="M29" s="133"/>
      <c r="N29" s="133"/>
      <c r="O29" s="133"/>
      <c r="P29" s="133"/>
      <c r="Q29" s="133"/>
      <c r="R29" s="133"/>
      <c r="S29" s="3"/>
      <c r="T29" s="3"/>
      <c r="U29" s="3"/>
      <c r="V29" s="3"/>
      <c r="W29" s="3"/>
      <c r="X29" s="3"/>
      <c r="Y29" s="3"/>
      <c r="Z29" s="3"/>
      <c r="AA29" s="3"/>
      <c r="AB29" s="3"/>
      <c r="AC29" s="3"/>
    </row>
    <row r="30" spans="1:29" ht="33" customHeight="1" x14ac:dyDescent="0.35">
      <c r="A30" s="3"/>
      <c r="B30" s="3"/>
      <c r="C30" s="3"/>
      <c r="D30" s="137"/>
      <c r="E30" s="133"/>
      <c r="F30" s="133"/>
      <c r="G30" s="133"/>
      <c r="H30" s="133"/>
      <c r="I30" s="133"/>
      <c r="J30" s="133"/>
      <c r="K30" s="133"/>
      <c r="L30" s="133"/>
      <c r="M30" s="133"/>
      <c r="N30" s="133"/>
      <c r="O30" s="133"/>
      <c r="P30" s="133"/>
      <c r="Q30" s="133"/>
      <c r="R30" s="133"/>
      <c r="S30" s="3"/>
      <c r="T30" s="3"/>
      <c r="U30" s="3"/>
      <c r="V30" s="3"/>
      <c r="W30" s="3"/>
      <c r="X30" s="3"/>
      <c r="Y30" s="3"/>
      <c r="Z30" s="3"/>
      <c r="AA30" s="3"/>
      <c r="AB30" s="3"/>
      <c r="AC30" s="3"/>
    </row>
    <row r="31" spans="1:29" x14ac:dyDescent="0.35">
      <c r="A31" s="3"/>
      <c r="B31" s="3"/>
      <c r="C31" s="3"/>
      <c r="D31" s="55"/>
      <c r="E31" s="134" t="s">
        <v>191</v>
      </c>
      <c r="F31" s="134"/>
      <c r="G31" s="134"/>
      <c r="H31" s="134"/>
      <c r="I31" s="134"/>
      <c r="J31" s="134"/>
      <c r="K31" s="134"/>
      <c r="L31" s="134"/>
      <c r="M31" s="134"/>
      <c r="N31" s="134"/>
      <c r="O31" s="134"/>
      <c r="P31" s="134"/>
      <c r="Q31" s="134"/>
      <c r="R31" s="3"/>
      <c r="S31" s="3"/>
      <c r="T31" s="3"/>
      <c r="U31" s="3"/>
      <c r="V31" s="3"/>
      <c r="W31" s="3"/>
      <c r="X31" s="3"/>
      <c r="Y31" s="3"/>
      <c r="Z31" s="3"/>
      <c r="AA31" s="3"/>
      <c r="AB31" s="3"/>
      <c r="AC31" s="3"/>
    </row>
    <row r="32" spans="1:29" x14ac:dyDescent="0.35">
      <c r="A32" s="3"/>
      <c r="B32" s="3"/>
      <c r="C32" s="3"/>
      <c r="D32" s="137" t="s">
        <v>192</v>
      </c>
      <c r="E32" s="133" t="s">
        <v>193</v>
      </c>
      <c r="F32" s="133"/>
      <c r="G32" s="133"/>
      <c r="H32" s="133"/>
      <c r="I32" s="133"/>
      <c r="J32" s="133"/>
      <c r="K32" s="133"/>
      <c r="L32" s="133"/>
      <c r="M32" s="133"/>
      <c r="N32" s="133"/>
      <c r="O32" s="133"/>
      <c r="P32" s="133"/>
      <c r="Q32" s="133"/>
      <c r="R32" s="133"/>
      <c r="S32" s="3"/>
      <c r="T32" s="3"/>
      <c r="U32" s="3"/>
      <c r="V32" s="3"/>
      <c r="W32" s="3"/>
      <c r="X32" s="3"/>
      <c r="Y32" s="3"/>
      <c r="Z32" s="3"/>
      <c r="AA32" s="3"/>
      <c r="AB32" s="3"/>
      <c r="AC32" s="3"/>
    </row>
    <row r="33" spans="1:29" x14ac:dyDescent="0.35">
      <c r="A33" s="3"/>
      <c r="B33" s="3"/>
      <c r="C33" s="3"/>
      <c r="D33" s="137"/>
      <c r="E33" s="133"/>
      <c r="F33" s="133"/>
      <c r="G33" s="133"/>
      <c r="H33" s="133"/>
      <c r="I33" s="133"/>
      <c r="J33" s="133"/>
      <c r="K33" s="133"/>
      <c r="L33" s="133"/>
      <c r="M33" s="133"/>
      <c r="N33" s="133"/>
      <c r="O33" s="133"/>
      <c r="P33" s="133"/>
      <c r="Q33" s="133"/>
      <c r="R33" s="133"/>
      <c r="S33" s="3"/>
      <c r="T33" s="3"/>
      <c r="U33" s="3"/>
      <c r="V33" s="3"/>
      <c r="W33" s="3"/>
      <c r="X33" s="3"/>
      <c r="Y33" s="3"/>
      <c r="Z33" s="3"/>
      <c r="AA33" s="3"/>
      <c r="AB33" s="3"/>
      <c r="AC33" s="3"/>
    </row>
    <row r="34" spans="1:29" x14ac:dyDescent="0.35">
      <c r="A34" s="3"/>
      <c r="B34" s="3"/>
      <c r="C34" s="3"/>
      <c r="D34" s="3"/>
      <c r="E34" s="133"/>
      <c r="F34" s="133"/>
      <c r="G34" s="133"/>
      <c r="H34" s="133"/>
      <c r="I34" s="133"/>
      <c r="J34" s="133"/>
      <c r="K34" s="133"/>
      <c r="L34" s="133"/>
      <c r="M34" s="133"/>
      <c r="N34" s="133"/>
      <c r="O34" s="133"/>
      <c r="P34" s="133"/>
      <c r="Q34" s="133"/>
      <c r="R34" s="133"/>
      <c r="S34" s="3"/>
      <c r="T34" s="3"/>
      <c r="U34" s="3"/>
      <c r="V34" s="3"/>
      <c r="W34" s="3"/>
      <c r="X34" s="3"/>
      <c r="Y34" s="3"/>
      <c r="Z34" s="3"/>
      <c r="AA34" s="3"/>
      <c r="AB34" s="3"/>
      <c r="AC34" s="3"/>
    </row>
    <row r="35" spans="1:29" x14ac:dyDescent="0.35">
      <c r="A35" s="3"/>
      <c r="B35" s="3"/>
      <c r="C35" s="3"/>
      <c r="D35" s="133" t="s">
        <v>194</v>
      </c>
      <c r="E35" s="133"/>
      <c r="F35" s="133"/>
      <c r="G35" s="133"/>
      <c r="H35" s="133"/>
      <c r="I35" s="133"/>
      <c r="J35" s="133"/>
      <c r="K35" s="133"/>
      <c r="L35" s="133"/>
      <c r="M35" s="133"/>
      <c r="N35" s="133"/>
      <c r="O35" s="133"/>
      <c r="P35" s="133"/>
      <c r="Q35" s="133"/>
      <c r="R35" s="133"/>
      <c r="S35" s="3"/>
      <c r="T35" s="3"/>
      <c r="U35" s="3"/>
      <c r="V35" s="3"/>
      <c r="W35" s="3"/>
      <c r="X35" s="3"/>
      <c r="Y35" s="3"/>
      <c r="Z35" s="3"/>
      <c r="AA35" s="3"/>
      <c r="AB35" s="3"/>
      <c r="AC35" s="3"/>
    </row>
    <row r="36" spans="1:29"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row>
    <row r="37" spans="1:29" ht="15" x14ac:dyDescent="0.35">
      <c r="A37" s="3"/>
      <c r="B37" s="3"/>
      <c r="C37" s="3"/>
      <c r="D37" s="136"/>
      <c r="E37" s="136"/>
      <c r="F37" s="136"/>
      <c r="G37" s="136"/>
      <c r="H37" s="136"/>
      <c r="I37" s="136"/>
      <c r="J37" s="136"/>
      <c r="K37" s="136"/>
      <c r="L37" s="136"/>
      <c r="M37" s="136"/>
      <c r="N37" s="136"/>
      <c r="O37" s="136"/>
      <c r="P37" s="136"/>
      <c r="Q37" s="136"/>
      <c r="R37" s="3"/>
      <c r="S37" s="3"/>
      <c r="T37" s="3"/>
      <c r="U37" s="3"/>
      <c r="V37" s="3"/>
      <c r="W37" s="3"/>
      <c r="X37" s="3"/>
      <c r="Y37" s="3"/>
      <c r="Z37" s="3"/>
      <c r="AA37" s="3"/>
      <c r="AB37" s="3"/>
      <c r="AC37" s="3"/>
    </row>
    <row r="38" spans="1:29"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row>
    <row r="39" spans="1:29" x14ac:dyDescent="0.35">
      <c r="A39" s="3"/>
      <c r="B39" s="3"/>
      <c r="C39" s="3"/>
      <c r="D39" s="55"/>
      <c r="E39" s="3"/>
      <c r="F39" s="3"/>
      <c r="G39" s="3"/>
      <c r="H39" s="3"/>
      <c r="I39" s="3"/>
      <c r="J39" s="3"/>
      <c r="K39" s="3"/>
      <c r="L39" s="3"/>
      <c r="M39" s="3"/>
      <c r="N39" s="3"/>
      <c r="O39" s="3"/>
      <c r="P39" s="3"/>
      <c r="Q39" s="3"/>
      <c r="R39" s="3"/>
      <c r="S39" s="3"/>
      <c r="T39" s="3"/>
      <c r="U39" s="3"/>
      <c r="V39" s="3"/>
      <c r="W39" s="3"/>
      <c r="X39" s="3"/>
      <c r="Y39" s="3"/>
      <c r="Z39" s="3"/>
      <c r="AA39" s="3"/>
      <c r="AB39" s="3"/>
      <c r="AC39" s="3"/>
    </row>
    <row r="40" spans="1:29"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row>
    <row r="41" spans="1:29" x14ac:dyDescent="0.35">
      <c r="A41" s="3"/>
      <c r="B41" s="3"/>
      <c r="C41" s="3"/>
      <c r="D41" s="134"/>
      <c r="E41" s="134"/>
      <c r="F41" s="134"/>
      <c r="G41" s="134"/>
      <c r="H41" s="134"/>
      <c r="I41" s="134"/>
      <c r="J41" s="134"/>
      <c r="K41" s="134"/>
      <c r="L41" s="3"/>
      <c r="M41" s="3"/>
      <c r="N41" s="133"/>
      <c r="O41" s="133"/>
      <c r="P41" s="133"/>
      <c r="Q41" s="135"/>
      <c r="R41" s="135"/>
      <c r="S41" s="3"/>
      <c r="T41" s="3"/>
      <c r="U41" s="3"/>
      <c r="V41" s="3"/>
      <c r="W41" s="3"/>
      <c r="X41" s="3"/>
      <c r="Y41" s="3"/>
      <c r="Z41" s="3"/>
      <c r="AA41" s="3"/>
      <c r="AB41" s="3"/>
      <c r="AC41" s="3"/>
    </row>
    <row r="42" spans="1:29" x14ac:dyDescent="0.35">
      <c r="A42" s="3"/>
      <c r="B42" s="3"/>
      <c r="C42" s="3"/>
      <c r="D42" s="134"/>
      <c r="E42" s="134"/>
      <c r="F42" s="134"/>
      <c r="G42" s="134"/>
      <c r="H42" s="134"/>
      <c r="I42" s="134"/>
      <c r="J42" s="134"/>
      <c r="K42" s="134"/>
      <c r="L42" s="3"/>
      <c r="M42" s="3"/>
      <c r="N42" s="133"/>
      <c r="O42" s="133"/>
      <c r="P42" s="133"/>
      <c r="Q42" s="135"/>
      <c r="R42" s="135"/>
      <c r="S42" s="3"/>
      <c r="T42" s="3"/>
      <c r="U42" s="3"/>
      <c r="V42" s="3"/>
      <c r="W42" s="3"/>
      <c r="X42" s="3"/>
      <c r="Y42" s="3"/>
      <c r="Z42" s="3"/>
      <c r="AA42" s="3"/>
      <c r="AB42" s="3"/>
      <c r="AC42" s="3"/>
    </row>
    <row r="43" spans="1:29" x14ac:dyDescent="0.35">
      <c r="A43" s="3"/>
      <c r="B43" s="3"/>
      <c r="C43" s="3"/>
      <c r="D43" s="133"/>
      <c r="E43" s="133"/>
      <c r="F43" s="133"/>
      <c r="G43" s="133"/>
      <c r="H43" s="133"/>
      <c r="I43" s="133"/>
      <c r="J43" s="133"/>
      <c r="K43" s="133"/>
      <c r="L43" s="3"/>
      <c r="M43" s="3"/>
      <c r="N43" s="135"/>
      <c r="O43" s="135"/>
      <c r="P43" s="135"/>
      <c r="Q43" s="135"/>
      <c r="R43" s="135"/>
      <c r="S43" s="3"/>
      <c r="T43" s="3"/>
      <c r="U43" s="3"/>
      <c r="V43" s="3"/>
      <c r="W43" s="3"/>
      <c r="X43" s="3"/>
      <c r="Y43" s="3"/>
      <c r="Z43" s="3"/>
      <c r="AA43" s="3"/>
      <c r="AB43" s="3"/>
      <c r="AC43" s="3"/>
    </row>
    <row r="44" spans="1:29" x14ac:dyDescent="0.35">
      <c r="A44" s="3"/>
      <c r="B44" s="3"/>
      <c r="C44" s="3"/>
      <c r="D44" s="133"/>
      <c r="E44" s="133"/>
      <c r="F44" s="133"/>
      <c r="G44" s="133"/>
      <c r="H44" s="133"/>
      <c r="I44" s="133"/>
      <c r="J44" s="133"/>
      <c r="K44" s="133"/>
      <c r="L44" s="3"/>
      <c r="M44" s="3"/>
      <c r="N44" s="135"/>
      <c r="O44" s="135"/>
      <c r="P44" s="135"/>
      <c r="Q44" s="135"/>
      <c r="R44" s="135"/>
      <c r="S44" s="3"/>
      <c r="T44" s="3"/>
      <c r="U44" s="3"/>
      <c r="V44" s="3"/>
      <c r="W44" s="3"/>
      <c r="X44" s="3"/>
      <c r="Y44" s="3"/>
      <c r="Z44" s="3"/>
      <c r="AA44" s="3"/>
      <c r="AB44" s="3"/>
      <c r="AC44" s="3"/>
    </row>
    <row r="45" spans="1:29" x14ac:dyDescent="0.35">
      <c r="A45" s="3"/>
      <c r="B45" s="3"/>
      <c r="C45" s="3"/>
      <c r="D45" s="133"/>
      <c r="E45" s="133"/>
      <c r="F45" s="133"/>
      <c r="G45" s="133"/>
      <c r="H45" s="133"/>
      <c r="I45" s="133"/>
      <c r="J45" s="133"/>
      <c r="K45" s="133"/>
      <c r="L45" s="3"/>
      <c r="M45" s="3"/>
      <c r="N45" s="135"/>
      <c r="O45" s="135"/>
      <c r="P45" s="135"/>
      <c r="Q45" s="135"/>
      <c r="R45" s="135"/>
      <c r="S45" s="3"/>
      <c r="T45" s="3"/>
      <c r="U45" s="3"/>
      <c r="V45" s="3"/>
      <c r="W45" s="3"/>
      <c r="X45" s="3"/>
      <c r="Y45" s="3"/>
      <c r="Z45" s="3"/>
      <c r="AA45" s="3"/>
      <c r="AB45" s="3"/>
      <c r="AC45" s="3"/>
    </row>
    <row r="46" spans="1:29" x14ac:dyDescent="0.35">
      <c r="A46" s="3"/>
      <c r="B46" s="3"/>
      <c r="C46" s="3"/>
      <c r="D46" s="133"/>
      <c r="E46" s="133"/>
      <c r="F46" s="133"/>
      <c r="G46" s="133"/>
      <c r="H46" s="133"/>
      <c r="I46" s="133"/>
      <c r="J46" s="133"/>
      <c r="K46" s="133"/>
      <c r="L46" s="3"/>
      <c r="M46" s="3"/>
      <c r="N46" s="135"/>
      <c r="O46" s="135"/>
      <c r="P46" s="135"/>
      <c r="Q46" s="133"/>
      <c r="R46" s="133"/>
      <c r="S46" s="3"/>
      <c r="T46" s="3"/>
      <c r="U46" s="3"/>
      <c r="V46" s="3"/>
      <c r="W46" s="3"/>
      <c r="X46" s="3"/>
      <c r="Y46" s="3"/>
      <c r="Z46" s="3"/>
      <c r="AA46" s="3"/>
      <c r="AB46" s="3"/>
      <c r="AC46" s="3"/>
    </row>
    <row r="47" spans="1:29" x14ac:dyDescent="0.35">
      <c r="A47" s="3"/>
      <c r="B47" s="3"/>
      <c r="C47" s="3"/>
      <c r="D47" s="133"/>
      <c r="E47" s="133"/>
      <c r="F47" s="133"/>
      <c r="G47" s="133"/>
      <c r="H47" s="133"/>
      <c r="I47" s="133"/>
      <c r="J47" s="133"/>
      <c r="K47" s="133"/>
      <c r="L47" s="3"/>
      <c r="M47" s="3"/>
      <c r="N47" s="135"/>
      <c r="O47" s="135"/>
      <c r="P47" s="135"/>
      <c r="Q47" s="133"/>
      <c r="R47" s="133"/>
      <c r="S47" s="3"/>
      <c r="T47" s="3"/>
      <c r="U47" s="3"/>
      <c r="V47" s="3"/>
      <c r="W47" s="3"/>
      <c r="X47" s="3"/>
      <c r="Y47" s="3"/>
      <c r="Z47" s="3"/>
      <c r="AA47" s="3"/>
      <c r="AB47" s="3"/>
      <c r="AC47" s="3"/>
    </row>
    <row r="48" spans="1:29" x14ac:dyDescent="0.35">
      <c r="A48" s="3"/>
      <c r="B48" s="3"/>
      <c r="C48" s="3"/>
      <c r="D48" s="133"/>
      <c r="E48" s="133"/>
      <c r="F48" s="133"/>
      <c r="G48" s="133"/>
      <c r="H48" s="133"/>
      <c r="I48" s="133"/>
      <c r="J48" s="133"/>
      <c r="K48" s="133"/>
      <c r="L48" s="3"/>
      <c r="M48" s="3"/>
      <c r="N48" s="134"/>
      <c r="O48" s="134"/>
      <c r="P48" s="134"/>
      <c r="Q48" s="134"/>
      <c r="R48" s="134"/>
      <c r="S48" s="3"/>
      <c r="T48" s="3"/>
      <c r="U48" s="3"/>
      <c r="V48" s="3"/>
      <c r="W48" s="3"/>
      <c r="X48" s="3"/>
      <c r="Y48" s="3"/>
      <c r="Z48" s="3"/>
      <c r="AA48" s="3"/>
      <c r="AB48" s="3"/>
      <c r="AC48" s="3"/>
    </row>
    <row r="49" spans="1:29" x14ac:dyDescent="0.35">
      <c r="A49" s="3"/>
      <c r="B49" s="3"/>
      <c r="C49" s="3"/>
      <c r="D49" s="133"/>
      <c r="E49" s="133"/>
      <c r="F49" s="133"/>
      <c r="G49" s="133"/>
      <c r="H49" s="133"/>
      <c r="I49" s="133"/>
      <c r="J49" s="133"/>
      <c r="K49" s="133"/>
      <c r="L49" s="3"/>
      <c r="M49" s="3"/>
      <c r="N49" s="134"/>
      <c r="O49" s="134"/>
      <c r="P49" s="134"/>
      <c r="Q49" s="134"/>
      <c r="R49" s="134"/>
      <c r="S49" s="3"/>
      <c r="T49" s="3"/>
      <c r="U49" s="3"/>
      <c r="V49" s="3"/>
      <c r="W49" s="3"/>
      <c r="X49" s="3"/>
      <c r="Y49" s="3"/>
      <c r="Z49" s="3"/>
      <c r="AA49" s="3"/>
      <c r="AB49" s="3"/>
      <c r="AC49" s="3"/>
    </row>
    <row r="50" spans="1:29" x14ac:dyDescent="0.35">
      <c r="A50" s="3"/>
      <c r="B50" s="3"/>
      <c r="C50" s="3"/>
      <c r="D50" s="133"/>
      <c r="E50" s="133"/>
      <c r="F50" s="133"/>
      <c r="G50" s="133"/>
      <c r="H50" s="133"/>
      <c r="I50" s="133"/>
      <c r="J50" s="133"/>
      <c r="K50" s="133"/>
      <c r="L50" s="3"/>
      <c r="M50" s="3"/>
      <c r="N50" s="134"/>
      <c r="O50" s="134"/>
      <c r="P50" s="134"/>
      <c r="Q50" s="134"/>
      <c r="R50" s="134"/>
      <c r="S50" s="3"/>
      <c r="T50" s="3"/>
      <c r="U50" s="3"/>
      <c r="V50" s="3"/>
      <c r="W50" s="3"/>
      <c r="X50" s="3"/>
      <c r="Y50" s="3"/>
      <c r="Z50" s="3"/>
      <c r="AA50" s="3"/>
      <c r="AB50" s="3"/>
      <c r="AC50" s="3"/>
    </row>
    <row r="51" spans="1:29" x14ac:dyDescent="0.35">
      <c r="A51" s="3"/>
      <c r="B51" s="3"/>
      <c r="C51" s="3"/>
      <c r="D51" s="133"/>
      <c r="E51" s="133"/>
      <c r="F51" s="133"/>
      <c r="G51" s="133"/>
      <c r="H51" s="133"/>
      <c r="I51" s="133"/>
      <c r="J51" s="133"/>
      <c r="K51" s="133"/>
      <c r="L51" s="3"/>
      <c r="M51" s="3"/>
      <c r="N51" s="134"/>
      <c r="O51" s="134"/>
      <c r="P51" s="134"/>
      <c r="Q51" s="134"/>
      <c r="R51" s="134"/>
      <c r="S51" s="3"/>
      <c r="T51" s="3"/>
      <c r="U51" s="3"/>
      <c r="V51" s="3"/>
      <c r="W51" s="3"/>
      <c r="X51" s="3"/>
      <c r="Y51" s="3"/>
      <c r="Z51" s="3"/>
      <c r="AA51" s="3"/>
      <c r="AB51" s="3"/>
      <c r="AC51" s="3"/>
    </row>
    <row r="52" spans="1:29"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row>
    <row r="53" spans="1:29"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row>
    <row r="54" spans="1:29"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row>
    <row r="55" spans="1:29"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row>
    <row r="56" spans="1:29"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row>
    <row r="57" spans="1:29"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row>
    <row r="58" spans="1:29"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row>
    <row r="59" spans="1:29"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row>
    <row r="60" spans="1:29"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row>
    <row r="61" spans="1:29"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row>
    <row r="62" spans="1:29"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row>
    <row r="63" spans="1:29"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row>
    <row r="64" spans="1:29"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row>
    <row r="65" spans="1:29"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row>
    <row r="66" spans="1:29"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row>
    <row r="67" spans="1:29" x14ac:dyDescent="0.35">
      <c r="D67" s="3"/>
      <c r="E67" s="3"/>
      <c r="F67" s="3"/>
      <c r="G67" s="3"/>
      <c r="H67" s="3"/>
      <c r="I67" s="3"/>
      <c r="J67" s="3"/>
      <c r="K67" s="3"/>
      <c r="L67" s="3"/>
      <c r="M67" s="3"/>
      <c r="N67" s="3"/>
      <c r="O67" s="3"/>
      <c r="P67" s="3"/>
      <c r="Q67" s="3"/>
      <c r="R67" s="3"/>
      <c r="S67" s="3"/>
      <c r="T67" s="3"/>
      <c r="U67" s="3"/>
      <c r="V67" s="3"/>
      <c r="W67" s="3"/>
      <c r="X67" s="3"/>
      <c r="Y67" s="3"/>
      <c r="Z67" s="3"/>
      <c r="AA67" s="3"/>
      <c r="AB67" s="3"/>
      <c r="AC67" s="3"/>
    </row>
    <row r="68" spans="1:29" x14ac:dyDescent="0.35">
      <c r="D68" s="3"/>
      <c r="E68" s="3"/>
      <c r="F68" s="3"/>
      <c r="G68" s="3"/>
      <c r="H68" s="3"/>
      <c r="I68" s="3"/>
      <c r="J68" s="3"/>
      <c r="K68" s="3"/>
      <c r="L68" s="3"/>
      <c r="M68" s="3"/>
      <c r="N68" s="3"/>
      <c r="O68" s="3"/>
      <c r="P68" s="3"/>
      <c r="Q68" s="3"/>
      <c r="R68" s="3"/>
      <c r="S68" s="3"/>
      <c r="T68" s="3"/>
      <c r="U68" s="3"/>
      <c r="V68" s="3"/>
      <c r="W68" s="3"/>
      <c r="X68" s="3"/>
      <c r="Y68" s="3"/>
      <c r="Z68" s="3"/>
      <c r="AA68" s="3"/>
      <c r="AB68" s="3"/>
      <c r="AC68" s="3"/>
    </row>
    <row r="69" spans="1:29" x14ac:dyDescent="0.35">
      <c r="D69" s="3"/>
      <c r="E69" s="3"/>
      <c r="F69" s="3"/>
      <c r="G69" s="3"/>
      <c r="H69" s="3"/>
      <c r="I69" s="3"/>
      <c r="J69" s="3"/>
      <c r="K69" s="3"/>
      <c r="L69" s="3"/>
      <c r="M69" s="3"/>
      <c r="N69" s="3"/>
      <c r="O69" s="3"/>
      <c r="P69" s="3"/>
      <c r="Q69" s="3"/>
      <c r="R69" s="3"/>
      <c r="S69" s="3"/>
      <c r="T69" s="3"/>
      <c r="U69" s="3"/>
      <c r="V69" s="3"/>
      <c r="W69" s="3"/>
      <c r="X69" s="3"/>
      <c r="Y69" s="3"/>
      <c r="Z69" s="3"/>
      <c r="AA69" s="3"/>
      <c r="AB69" s="3"/>
      <c r="AC69" s="3"/>
    </row>
    <row r="70" spans="1:29" x14ac:dyDescent="0.35">
      <c r="D70" s="3"/>
      <c r="E70" s="3"/>
      <c r="F70" s="3"/>
      <c r="G70" s="3"/>
      <c r="H70" s="3"/>
      <c r="I70" s="3"/>
      <c r="J70" s="3"/>
      <c r="K70" s="3"/>
      <c r="L70" s="3"/>
      <c r="M70" s="3"/>
      <c r="N70" s="3"/>
      <c r="O70" s="3"/>
      <c r="P70" s="3"/>
      <c r="Q70" s="3"/>
      <c r="R70" s="3"/>
    </row>
  </sheetData>
  <mergeCells count="45">
    <mergeCell ref="R15:S16"/>
    <mergeCell ref="L15:M16"/>
    <mergeCell ref="D8:Q8"/>
    <mergeCell ref="R12:S13"/>
    <mergeCell ref="L12:M13"/>
    <mergeCell ref="N12:Q13"/>
    <mergeCell ref="D12:K13"/>
    <mergeCell ref="H23:R23"/>
    <mergeCell ref="D29:D30"/>
    <mergeCell ref="E29:R30"/>
    <mergeCell ref="D32:D33"/>
    <mergeCell ref="D14:K14"/>
    <mergeCell ref="R14:S14"/>
    <mergeCell ref="L14:M14"/>
    <mergeCell ref="N14:Q14"/>
    <mergeCell ref="N15:Q16"/>
    <mergeCell ref="D17:K18"/>
    <mergeCell ref="L17:M18"/>
    <mergeCell ref="N17:Q18"/>
    <mergeCell ref="E32:R34"/>
    <mergeCell ref="E31:Q31"/>
    <mergeCell ref="R17:S18"/>
    <mergeCell ref="D15:K16"/>
    <mergeCell ref="P41:P42"/>
    <mergeCell ref="Q41:R42"/>
    <mergeCell ref="D43:K45"/>
    <mergeCell ref="N43:O45"/>
    <mergeCell ref="P43:P45"/>
    <mergeCell ref="Q43:R45"/>
    <mergeCell ref="D50:K51"/>
    <mergeCell ref="N50:O51"/>
    <mergeCell ref="P50:P51"/>
    <mergeCell ref="Q50:R51"/>
    <mergeCell ref="D35:R35"/>
    <mergeCell ref="D46:K47"/>
    <mergeCell ref="N46:O47"/>
    <mergeCell ref="P46:P47"/>
    <mergeCell ref="Q46:R47"/>
    <mergeCell ref="D48:K49"/>
    <mergeCell ref="N48:O49"/>
    <mergeCell ref="P48:P49"/>
    <mergeCell ref="Q48:R49"/>
    <mergeCell ref="D37:Q37"/>
    <mergeCell ref="D41:K42"/>
    <mergeCell ref="N41:O42"/>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249"/>
  <sheetViews>
    <sheetView workbookViewId="0">
      <selection activeCell="P9" sqref="P9:Q11"/>
    </sheetView>
  </sheetViews>
  <sheetFormatPr defaultRowHeight="14.5" x14ac:dyDescent="0.35"/>
  <cols>
    <col min="5" max="5" width="20.54296875" customWidth="1"/>
    <col min="17" max="17" width="17" customWidth="1"/>
  </cols>
  <sheetData>
    <row r="1" spans="1:53" x14ac:dyDescent="0.35">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ht="0.75" customHeight="1" x14ac:dyDescent="0.35">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ht="39" customHeight="1" x14ac:dyDescent="0.35">
      <c r="A3" s="3"/>
      <c r="B3" s="3"/>
      <c r="C3" s="155" t="s">
        <v>195</v>
      </c>
      <c r="D3" s="155"/>
      <c r="E3" s="155"/>
      <c r="F3" s="155"/>
      <c r="G3" s="155"/>
      <c r="H3" s="155"/>
      <c r="I3" s="155"/>
      <c r="J3" s="155"/>
      <c r="K3" s="155"/>
      <c r="L3" s="155"/>
      <c r="M3" s="155"/>
      <c r="N3" s="155"/>
      <c r="O3" s="155"/>
      <c r="P3" s="155"/>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row>
    <row r="4" spans="1:53" x14ac:dyDescent="0.35">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row>
    <row r="5" spans="1:53" x14ac:dyDescent="0.35">
      <c r="A5" s="3"/>
      <c r="B5" s="3"/>
      <c r="C5" s="55" t="s">
        <v>196</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row>
    <row r="6" spans="1:53" x14ac:dyDescent="0.35">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ht="15" customHeight="1" x14ac:dyDescent="0.35">
      <c r="A7" s="3"/>
      <c r="B7" s="3"/>
      <c r="C7" s="138"/>
      <c r="D7" s="138"/>
      <c r="E7" s="138"/>
      <c r="F7" s="138"/>
      <c r="G7" s="138"/>
      <c r="H7" s="138"/>
      <c r="I7" s="138"/>
      <c r="J7" s="138"/>
      <c r="K7" s="76" t="s">
        <v>176</v>
      </c>
      <c r="L7" s="76"/>
      <c r="M7" s="74" t="s">
        <v>197</v>
      </c>
      <c r="N7" s="74"/>
      <c r="O7" s="74"/>
      <c r="P7" s="76" t="s">
        <v>198</v>
      </c>
      <c r="Q7" s="76"/>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x14ac:dyDescent="0.35">
      <c r="A8" s="3"/>
      <c r="B8" s="3"/>
      <c r="C8" s="138"/>
      <c r="D8" s="138"/>
      <c r="E8" s="138"/>
      <c r="F8" s="138"/>
      <c r="G8" s="138"/>
      <c r="H8" s="138"/>
      <c r="I8" s="138"/>
      <c r="J8" s="138"/>
      <c r="K8" s="76"/>
      <c r="L8" s="76"/>
      <c r="M8" s="74"/>
      <c r="N8" s="74"/>
      <c r="O8" s="74"/>
      <c r="P8" s="76"/>
      <c r="Q8" s="76"/>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row>
    <row r="9" spans="1:53" x14ac:dyDescent="0.35">
      <c r="A9" s="3"/>
      <c r="B9" s="3"/>
      <c r="C9" s="148" t="s">
        <v>199</v>
      </c>
      <c r="D9" s="148"/>
      <c r="E9" s="148"/>
      <c r="F9" s="148"/>
      <c r="G9" s="148"/>
      <c r="H9" s="148"/>
      <c r="I9" s="148"/>
      <c r="J9" s="148"/>
      <c r="K9" s="151"/>
      <c r="L9" s="152"/>
      <c r="M9" s="186"/>
      <c r="N9" s="187"/>
      <c r="O9" s="188"/>
      <c r="P9" s="185"/>
      <c r="Q9" s="185"/>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row>
    <row r="10" spans="1:53" x14ac:dyDescent="0.35">
      <c r="A10" s="3"/>
      <c r="B10" s="3"/>
      <c r="C10" s="148"/>
      <c r="D10" s="148"/>
      <c r="E10" s="148"/>
      <c r="F10" s="148"/>
      <c r="G10" s="148"/>
      <c r="H10" s="148"/>
      <c r="I10" s="148"/>
      <c r="J10" s="148"/>
      <c r="K10" s="197"/>
      <c r="L10" s="198"/>
      <c r="M10" s="189"/>
      <c r="N10" s="190"/>
      <c r="O10" s="191"/>
      <c r="P10" s="185"/>
      <c r="Q10" s="185"/>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row>
    <row r="11" spans="1:53" x14ac:dyDescent="0.35">
      <c r="A11" s="3"/>
      <c r="B11" s="3"/>
      <c r="C11" s="148"/>
      <c r="D11" s="148"/>
      <c r="E11" s="148"/>
      <c r="F11" s="148"/>
      <c r="G11" s="148"/>
      <c r="H11" s="148"/>
      <c r="I11" s="148"/>
      <c r="J11" s="148"/>
      <c r="K11" s="153"/>
      <c r="L11" s="154"/>
      <c r="M11" s="189"/>
      <c r="N11" s="190"/>
      <c r="O11" s="191"/>
      <c r="P11" s="185"/>
      <c r="Q11" s="185"/>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row>
    <row r="12" spans="1:53" x14ac:dyDescent="0.35">
      <c r="A12" s="3"/>
      <c r="B12" s="3"/>
      <c r="C12" s="148" t="s">
        <v>200</v>
      </c>
      <c r="D12" s="148"/>
      <c r="E12" s="148"/>
      <c r="F12" s="148"/>
      <c r="G12" s="148"/>
      <c r="H12" s="148"/>
      <c r="I12" s="148"/>
      <c r="J12" s="148"/>
      <c r="K12" s="151"/>
      <c r="L12" s="152"/>
      <c r="M12" s="189"/>
      <c r="N12" s="190"/>
      <c r="O12" s="191"/>
      <c r="P12" s="199"/>
      <c r="Q12" s="199"/>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x14ac:dyDescent="0.35">
      <c r="A13" s="3"/>
      <c r="B13" s="3"/>
      <c r="C13" s="148"/>
      <c r="D13" s="148"/>
      <c r="E13" s="148"/>
      <c r="F13" s="148"/>
      <c r="G13" s="148"/>
      <c r="H13" s="148"/>
      <c r="I13" s="148"/>
      <c r="J13" s="148"/>
      <c r="K13" s="153"/>
      <c r="L13" s="154"/>
      <c r="M13" s="192"/>
      <c r="N13" s="193"/>
      <c r="O13" s="194"/>
      <c r="P13" s="199"/>
      <c r="Q13" s="199"/>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x14ac:dyDescent="0.35">
      <c r="A14" s="3"/>
      <c r="B14" s="3"/>
      <c r="C14" s="148" t="s">
        <v>201</v>
      </c>
      <c r="D14" s="148"/>
      <c r="E14" s="148"/>
      <c r="F14" s="148"/>
      <c r="G14" s="148"/>
      <c r="H14" s="148"/>
      <c r="I14" s="148"/>
      <c r="J14" s="148"/>
      <c r="K14" s="151"/>
      <c r="L14" s="152"/>
      <c r="M14" s="151"/>
      <c r="N14" s="195"/>
      <c r="O14" s="152"/>
      <c r="P14" s="149"/>
      <c r="Q14" s="149"/>
      <c r="R14" s="3"/>
      <c r="S14" s="3"/>
      <c r="T14" s="3"/>
      <c r="U14" s="3"/>
      <c r="V14" s="3"/>
      <c r="W14" s="3"/>
    </row>
    <row r="15" spans="1:53" x14ac:dyDescent="0.35">
      <c r="A15" s="3"/>
      <c r="B15" s="3"/>
      <c r="C15" s="148"/>
      <c r="D15" s="148"/>
      <c r="E15" s="148"/>
      <c r="F15" s="148"/>
      <c r="G15" s="148"/>
      <c r="H15" s="148"/>
      <c r="I15" s="148"/>
      <c r="J15" s="148"/>
      <c r="K15" s="153"/>
      <c r="L15" s="154"/>
      <c r="M15" s="153"/>
      <c r="N15" s="196"/>
      <c r="O15" s="154"/>
      <c r="P15" s="149"/>
      <c r="Q15" s="149"/>
      <c r="R15" s="3"/>
      <c r="S15" s="3"/>
      <c r="T15" s="3"/>
      <c r="U15" s="3"/>
      <c r="V15" s="3"/>
      <c r="W15" s="3"/>
    </row>
    <row r="16" spans="1:53" x14ac:dyDescent="0.35">
      <c r="A16" s="3"/>
      <c r="B16" s="3"/>
      <c r="C16" s="148" t="s">
        <v>202</v>
      </c>
      <c r="D16" s="148"/>
      <c r="E16" s="148"/>
      <c r="F16" s="148"/>
      <c r="G16" s="148"/>
      <c r="H16" s="148"/>
      <c r="I16" s="148"/>
      <c r="J16" s="148"/>
      <c r="K16" s="149"/>
      <c r="L16" s="149"/>
      <c r="M16" s="149"/>
      <c r="N16" s="149"/>
      <c r="O16" s="149"/>
      <c r="P16" s="149"/>
      <c r="Q16" s="149"/>
      <c r="R16" s="3"/>
      <c r="S16" s="3"/>
      <c r="T16" s="3"/>
      <c r="U16" s="3"/>
      <c r="V16" s="3"/>
      <c r="W16" s="3"/>
    </row>
    <row r="17" spans="1:31" x14ac:dyDescent="0.35">
      <c r="A17" s="3"/>
      <c r="B17" s="3"/>
      <c r="C17" s="148"/>
      <c r="D17" s="148"/>
      <c r="E17" s="148"/>
      <c r="F17" s="148"/>
      <c r="G17" s="148"/>
      <c r="H17" s="148"/>
      <c r="I17" s="148"/>
      <c r="J17" s="148"/>
      <c r="K17" s="149"/>
      <c r="L17" s="149"/>
      <c r="M17" s="149"/>
      <c r="N17" s="149"/>
      <c r="O17" s="149"/>
      <c r="P17" s="149"/>
      <c r="Q17" s="149"/>
      <c r="R17" s="3"/>
      <c r="S17" s="3"/>
      <c r="T17" s="3"/>
      <c r="U17" s="3"/>
      <c r="V17" s="3"/>
      <c r="W17" s="3"/>
    </row>
    <row r="18" spans="1:31" x14ac:dyDescent="0.35">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spans="1:31" x14ac:dyDescent="0.35">
      <c r="A19" s="3"/>
      <c r="B19" s="3"/>
      <c r="C19" s="3" t="s">
        <v>203</v>
      </c>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spans="1:31" x14ac:dyDescent="0.35">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spans="1:31" x14ac:dyDescent="0.35">
      <c r="A21" s="3"/>
      <c r="B21" s="3"/>
      <c r="C21" s="3" t="s">
        <v>204</v>
      </c>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spans="1:31" x14ac:dyDescent="0.35">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row r="23" spans="1:31" x14ac:dyDescent="0.35">
      <c r="A23" s="3"/>
      <c r="B23" s="3"/>
      <c r="C23" s="3" t="s">
        <v>205</v>
      </c>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row>
    <row r="24" spans="1:31" x14ac:dyDescent="0.35">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x14ac:dyDescent="0.35">
      <c r="A25" s="3"/>
      <c r="B25" s="3"/>
      <c r="C25" s="3" t="s">
        <v>206</v>
      </c>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row>
    <row r="26" spans="1:31" x14ac:dyDescent="0.3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x14ac:dyDescent="0.35">
      <c r="A27" s="3"/>
      <c r="B27" s="3"/>
      <c r="C27" s="3" t="s">
        <v>207</v>
      </c>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row>
    <row r="28" spans="1:31" x14ac:dyDescent="0.35">
      <c r="A28" s="3"/>
      <c r="B28" s="3"/>
      <c r="C28" s="3" t="s">
        <v>208</v>
      </c>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row>
    <row r="29" spans="1:31" x14ac:dyDescent="0.3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row>
    <row r="30" spans="1:31" x14ac:dyDescent="0.35">
      <c r="A30" s="3"/>
      <c r="B30" s="3"/>
      <c r="C30" s="3" t="s">
        <v>209</v>
      </c>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row>
    <row r="31" spans="1:3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spans="1:31" x14ac:dyDescent="0.35">
      <c r="A32" s="3"/>
      <c r="B32" s="3"/>
      <c r="C32" s="3" t="s">
        <v>210</v>
      </c>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spans="1:57" x14ac:dyDescent="0.35">
      <c r="A33" s="3"/>
      <c r="B33" s="3"/>
      <c r="C33" s="3" t="s">
        <v>211</v>
      </c>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57" x14ac:dyDescent="0.35">
      <c r="A34" s="3"/>
      <c r="B34" s="3"/>
      <c r="C34" s="3" t="s">
        <v>212</v>
      </c>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57"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57" x14ac:dyDescent="0.35">
      <c r="A36" s="3"/>
      <c r="B36" s="3"/>
      <c r="C36" s="3" t="s">
        <v>213</v>
      </c>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57"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57" x14ac:dyDescent="0.35">
      <c r="A38" s="3"/>
      <c r="B38" s="3"/>
      <c r="C38" s="3" t="s">
        <v>214</v>
      </c>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57" x14ac:dyDescent="0.35">
      <c r="A39" s="3"/>
      <c r="B39" s="3"/>
      <c r="C39" s="3" t="s">
        <v>215</v>
      </c>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ht="15.75" customHeight="1" x14ac:dyDescent="0.35">
      <c r="A41" s="3"/>
      <c r="B41" s="3"/>
      <c r="C41" s="3" t="s">
        <v>216</v>
      </c>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1:57" ht="15.7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row>
    <row r="43" spans="1:57" x14ac:dyDescent="0.35">
      <c r="A43" s="3"/>
      <c r="B43" s="3"/>
      <c r="C43" s="3" t="s">
        <v>217</v>
      </c>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57" x14ac:dyDescent="0.35">
      <c r="A44" s="3"/>
      <c r="B44" s="3"/>
      <c r="C44" s="3" t="s">
        <v>218</v>
      </c>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35">
      <c r="A45" s="3"/>
      <c r="B45" s="3"/>
      <c r="C45" s="3" t="s">
        <v>219</v>
      </c>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35">
      <c r="A46" s="3"/>
      <c r="B46" s="3"/>
      <c r="C46" s="3" t="s">
        <v>220</v>
      </c>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35">
      <c r="A47" s="3"/>
      <c r="B47" s="3"/>
      <c r="C47" s="3" t="s">
        <v>221</v>
      </c>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35">
      <c r="A48" s="3"/>
      <c r="B48" s="3"/>
      <c r="C48" s="3" t="s">
        <v>222</v>
      </c>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35">
      <c r="A49" s="3"/>
      <c r="B49" s="3"/>
      <c r="C49" s="3" t="s">
        <v>223</v>
      </c>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35">
      <c r="A50" s="3"/>
      <c r="B50" s="3"/>
      <c r="C50" s="3" t="s">
        <v>224</v>
      </c>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35">
      <c r="A53" s="3"/>
      <c r="B53" s="3"/>
      <c r="C53" s="3" t="s">
        <v>225</v>
      </c>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35">
      <c r="A55" s="3"/>
      <c r="B55" s="3"/>
      <c r="C55" s="55" t="s">
        <v>226</v>
      </c>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6" spans="1:57" x14ac:dyDescent="0.35">
      <c r="A56" s="3"/>
      <c r="B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row>
    <row r="57" spans="1:57" x14ac:dyDescent="0.35">
      <c r="A57" s="3"/>
      <c r="B57" s="3"/>
      <c r="C57" s="76" t="s">
        <v>227</v>
      </c>
      <c r="D57" s="76"/>
      <c r="E57" s="76"/>
      <c r="F57" s="171" t="s">
        <v>228</v>
      </c>
      <c r="G57" s="172"/>
      <c r="H57" s="172"/>
      <c r="I57" s="173"/>
      <c r="J57" s="171" t="s">
        <v>229</v>
      </c>
      <c r="K57" s="172"/>
      <c r="L57" s="172"/>
      <c r="M57" s="172"/>
      <c r="N57" s="172"/>
      <c r="O57" s="173"/>
      <c r="P57" s="74" t="s">
        <v>230</v>
      </c>
      <c r="Q57" s="74"/>
      <c r="R57" s="74"/>
      <c r="S57" s="74"/>
      <c r="T57" s="74"/>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row>
    <row r="58" spans="1:57" x14ac:dyDescent="0.35">
      <c r="A58" s="3"/>
      <c r="B58" s="3"/>
      <c r="C58" s="76"/>
      <c r="D58" s="76"/>
      <c r="E58" s="76"/>
      <c r="F58" s="174"/>
      <c r="G58" s="175"/>
      <c r="H58" s="175"/>
      <c r="I58" s="176"/>
      <c r="J58" s="174"/>
      <c r="K58" s="175"/>
      <c r="L58" s="175"/>
      <c r="M58" s="175"/>
      <c r="N58" s="175"/>
      <c r="O58" s="176"/>
      <c r="P58" s="74"/>
      <c r="Q58" s="74"/>
      <c r="R58" s="74"/>
      <c r="S58" s="74"/>
      <c r="T58" s="74"/>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35">
      <c r="A59" s="3"/>
      <c r="B59" s="3"/>
      <c r="C59" s="76"/>
      <c r="D59" s="76"/>
      <c r="E59" s="76"/>
      <c r="F59" s="171" t="s">
        <v>231</v>
      </c>
      <c r="G59" s="173"/>
      <c r="H59" s="171" t="s">
        <v>232</v>
      </c>
      <c r="I59" s="173"/>
      <c r="J59" s="165" t="s">
        <v>233</v>
      </c>
      <c r="K59" s="166"/>
      <c r="L59" s="165" t="s">
        <v>234</v>
      </c>
      <c r="M59" s="166"/>
      <c r="N59" s="177" t="s">
        <v>235</v>
      </c>
      <c r="O59" s="178"/>
      <c r="P59" s="74"/>
      <c r="Q59" s="74"/>
      <c r="R59" s="74"/>
      <c r="S59" s="74"/>
      <c r="T59" s="74"/>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35">
      <c r="A60" s="3"/>
      <c r="B60" s="3"/>
      <c r="C60" s="76"/>
      <c r="D60" s="76"/>
      <c r="E60" s="76"/>
      <c r="F60" s="183"/>
      <c r="G60" s="184"/>
      <c r="H60" s="183"/>
      <c r="I60" s="184"/>
      <c r="J60" s="167"/>
      <c r="K60" s="168"/>
      <c r="L60" s="167"/>
      <c r="M60" s="168"/>
      <c r="N60" s="179"/>
      <c r="O60" s="180"/>
      <c r="P60" s="74"/>
      <c r="Q60" s="74"/>
      <c r="R60" s="74"/>
      <c r="S60" s="74"/>
      <c r="T60" s="74"/>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35">
      <c r="A61" s="3"/>
      <c r="B61" s="3"/>
      <c r="C61" s="76"/>
      <c r="D61" s="76"/>
      <c r="E61" s="76"/>
      <c r="F61" s="174"/>
      <c r="G61" s="176"/>
      <c r="H61" s="174"/>
      <c r="I61" s="176"/>
      <c r="J61" s="169"/>
      <c r="K61" s="170"/>
      <c r="L61" s="169"/>
      <c r="M61" s="170"/>
      <c r="N61" s="181"/>
      <c r="O61" s="182"/>
      <c r="P61" s="74"/>
      <c r="Q61" s="74"/>
      <c r="R61" s="74"/>
      <c r="S61" s="74"/>
      <c r="T61" s="74"/>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35">
      <c r="A62" s="3"/>
      <c r="B62" s="3"/>
      <c r="C62" s="148" t="s">
        <v>236</v>
      </c>
      <c r="D62" s="148"/>
      <c r="E62" s="148"/>
      <c r="F62" s="158" t="s">
        <v>49</v>
      </c>
      <c r="G62" s="158"/>
      <c r="H62" s="158" t="s">
        <v>49</v>
      </c>
      <c r="I62" s="158"/>
      <c r="J62" s="158" t="s">
        <v>49</v>
      </c>
      <c r="K62" s="158"/>
      <c r="L62" s="158" t="s">
        <v>49</v>
      </c>
      <c r="M62" s="158"/>
      <c r="N62" s="159" t="s">
        <v>49</v>
      </c>
      <c r="O62" s="160"/>
      <c r="P62" s="158" t="s">
        <v>237</v>
      </c>
      <c r="Q62" s="158"/>
      <c r="R62" s="158"/>
      <c r="S62" s="158"/>
      <c r="T62" s="158"/>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35">
      <c r="A63" s="3"/>
      <c r="B63" s="3"/>
      <c r="C63" s="148"/>
      <c r="D63" s="148"/>
      <c r="E63" s="148"/>
      <c r="F63" s="158"/>
      <c r="G63" s="158"/>
      <c r="H63" s="158"/>
      <c r="I63" s="158"/>
      <c r="J63" s="158"/>
      <c r="K63" s="158"/>
      <c r="L63" s="158"/>
      <c r="M63" s="158"/>
      <c r="N63" s="161"/>
      <c r="O63" s="162"/>
      <c r="P63" s="158"/>
      <c r="Q63" s="158"/>
      <c r="R63" s="158"/>
      <c r="S63" s="158"/>
      <c r="T63" s="158"/>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35">
      <c r="A64" s="3"/>
      <c r="B64" s="3"/>
      <c r="C64" s="148"/>
      <c r="D64" s="148"/>
      <c r="E64" s="148"/>
      <c r="F64" s="158"/>
      <c r="G64" s="158"/>
      <c r="H64" s="158"/>
      <c r="I64" s="158"/>
      <c r="J64" s="158"/>
      <c r="K64" s="158"/>
      <c r="L64" s="158"/>
      <c r="M64" s="158"/>
      <c r="N64" s="163"/>
      <c r="O64" s="164"/>
      <c r="P64" s="158"/>
      <c r="Q64" s="158"/>
      <c r="R64" s="158"/>
      <c r="S64" s="158"/>
      <c r="T64" s="158"/>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35">
      <c r="A65" s="3"/>
      <c r="B65" s="3"/>
      <c r="C65" s="148" t="s">
        <v>238</v>
      </c>
      <c r="D65" s="148"/>
      <c r="E65" s="148"/>
      <c r="F65" s="158" t="s">
        <v>49</v>
      </c>
      <c r="G65" s="158"/>
      <c r="H65" s="158" t="s">
        <v>49</v>
      </c>
      <c r="I65" s="158"/>
      <c r="J65" s="158" t="s">
        <v>49</v>
      </c>
      <c r="K65" s="158"/>
      <c r="L65" s="158" t="s">
        <v>49</v>
      </c>
      <c r="M65" s="158"/>
      <c r="N65" s="159" t="s">
        <v>49</v>
      </c>
      <c r="O65" s="160"/>
      <c r="P65" s="158" t="s">
        <v>237</v>
      </c>
      <c r="Q65" s="158"/>
      <c r="R65" s="158"/>
      <c r="S65" s="158"/>
      <c r="T65" s="158"/>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35">
      <c r="A66" s="3"/>
      <c r="B66" s="3"/>
      <c r="C66" s="148"/>
      <c r="D66" s="148"/>
      <c r="E66" s="148"/>
      <c r="F66" s="158"/>
      <c r="G66" s="158"/>
      <c r="H66" s="158"/>
      <c r="I66" s="158"/>
      <c r="J66" s="158"/>
      <c r="K66" s="158"/>
      <c r="L66" s="158"/>
      <c r="M66" s="158"/>
      <c r="N66" s="161"/>
      <c r="O66" s="162"/>
      <c r="P66" s="158"/>
      <c r="Q66" s="158"/>
      <c r="R66" s="158"/>
      <c r="S66" s="158"/>
      <c r="T66" s="158"/>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35">
      <c r="A67" s="3"/>
      <c r="B67" s="3"/>
      <c r="C67" s="148"/>
      <c r="D67" s="148"/>
      <c r="E67" s="148"/>
      <c r="F67" s="158"/>
      <c r="G67" s="158"/>
      <c r="H67" s="158"/>
      <c r="I67" s="158"/>
      <c r="J67" s="158"/>
      <c r="K67" s="158"/>
      <c r="L67" s="158"/>
      <c r="M67" s="158"/>
      <c r="N67" s="163"/>
      <c r="O67" s="164"/>
      <c r="P67" s="158"/>
      <c r="Q67" s="158"/>
      <c r="R67" s="158"/>
      <c r="S67" s="158"/>
      <c r="T67" s="158"/>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35">
      <c r="A68" s="3"/>
      <c r="B68" s="3"/>
      <c r="C68" s="148" t="s">
        <v>239</v>
      </c>
      <c r="D68" s="148"/>
      <c r="E68" s="148"/>
      <c r="F68" s="158" t="s">
        <v>49</v>
      </c>
      <c r="G68" s="158"/>
      <c r="H68" s="158" t="s">
        <v>49</v>
      </c>
      <c r="I68" s="158"/>
      <c r="J68" s="158" t="s">
        <v>49</v>
      </c>
      <c r="K68" s="158"/>
      <c r="L68" s="158" t="s">
        <v>49</v>
      </c>
      <c r="M68" s="158"/>
      <c r="N68" s="159" t="s">
        <v>49</v>
      </c>
      <c r="O68" s="160"/>
      <c r="P68" s="158" t="s">
        <v>237</v>
      </c>
      <c r="Q68" s="158"/>
      <c r="R68" s="158"/>
      <c r="S68" s="158"/>
      <c r="T68" s="158"/>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35">
      <c r="A69" s="3"/>
      <c r="B69" s="3"/>
      <c r="C69" s="148"/>
      <c r="D69" s="148"/>
      <c r="E69" s="148"/>
      <c r="F69" s="158"/>
      <c r="G69" s="158"/>
      <c r="H69" s="158"/>
      <c r="I69" s="158"/>
      <c r="J69" s="158"/>
      <c r="K69" s="158"/>
      <c r="L69" s="158"/>
      <c r="M69" s="158"/>
      <c r="N69" s="161"/>
      <c r="O69" s="162"/>
      <c r="P69" s="158"/>
      <c r="Q69" s="158"/>
      <c r="R69" s="158"/>
      <c r="S69" s="158"/>
      <c r="T69" s="158"/>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0" spans="1:57" ht="31.5" customHeight="1" x14ac:dyDescent="0.35">
      <c r="A70" s="3"/>
      <c r="B70" s="3"/>
      <c r="C70" s="148"/>
      <c r="D70" s="148"/>
      <c r="E70" s="148"/>
      <c r="F70" s="158"/>
      <c r="G70" s="158"/>
      <c r="H70" s="158"/>
      <c r="I70" s="158"/>
      <c r="J70" s="158"/>
      <c r="K70" s="158"/>
      <c r="L70" s="158"/>
      <c r="M70" s="158"/>
      <c r="N70" s="163"/>
      <c r="O70" s="164"/>
      <c r="P70" s="158"/>
      <c r="Q70" s="158"/>
      <c r="R70" s="158"/>
      <c r="S70" s="158"/>
      <c r="T70" s="158"/>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row>
    <row r="71" spans="1:57" x14ac:dyDescent="0.35">
      <c r="A71" s="3"/>
      <c r="B71" s="3"/>
      <c r="C71" s="148" t="s">
        <v>240</v>
      </c>
      <c r="D71" s="148"/>
      <c r="E71" s="148"/>
      <c r="F71" s="158" t="s">
        <v>49</v>
      </c>
      <c r="G71" s="158"/>
      <c r="H71" s="158" t="s">
        <v>49</v>
      </c>
      <c r="I71" s="158"/>
      <c r="J71" s="158" t="s">
        <v>49</v>
      </c>
      <c r="K71" s="158"/>
      <c r="L71" s="158" t="s">
        <v>49</v>
      </c>
      <c r="M71" s="158"/>
      <c r="N71" s="159" t="s">
        <v>49</v>
      </c>
      <c r="O71" s="160"/>
      <c r="P71" s="158" t="s">
        <v>237</v>
      </c>
      <c r="Q71" s="158"/>
      <c r="R71" s="158"/>
      <c r="S71" s="158"/>
      <c r="T71" s="158"/>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row>
    <row r="72" spans="1:57" x14ac:dyDescent="0.35">
      <c r="A72" s="3"/>
      <c r="B72" s="3"/>
      <c r="C72" s="148"/>
      <c r="D72" s="148"/>
      <c r="E72" s="148"/>
      <c r="F72" s="158"/>
      <c r="G72" s="158"/>
      <c r="H72" s="158"/>
      <c r="I72" s="158"/>
      <c r="J72" s="158"/>
      <c r="K72" s="158"/>
      <c r="L72" s="158"/>
      <c r="M72" s="158"/>
      <c r="N72" s="161"/>
      <c r="O72" s="162"/>
      <c r="P72" s="158"/>
      <c r="Q72" s="158"/>
      <c r="R72" s="158"/>
      <c r="S72" s="158"/>
      <c r="T72" s="158"/>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35">
      <c r="A73" s="3"/>
      <c r="B73" s="3"/>
      <c r="C73" s="148"/>
      <c r="D73" s="148"/>
      <c r="E73" s="148"/>
      <c r="F73" s="158"/>
      <c r="G73" s="158"/>
      <c r="H73" s="158"/>
      <c r="I73" s="158"/>
      <c r="J73" s="158"/>
      <c r="K73" s="158"/>
      <c r="L73" s="158"/>
      <c r="M73" s="158"/>
      <c r="N73" s="163"/>
      <c r="O73" s="164"/>
      <c r="P73" s="158"/>
      <c r="Q73" s="158"/>
      <c r="R73" s="158"/>
      <c r="S73" s="158"/>
      <c r="T73" s="158"/>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35">
      <c r="A74" s="3"/>
      <c r="B74" s="3"/>
      <c r="C74" s="148" t="s">
        <v>241</v>
      </c>
      <c r="D74" s="148"/>
      <c r="E74" s="148"/>
      <c r="F74" s="158" t="s">
        <v>49</v>
      </c>
      <c r="G74" s="158"/>
      <c r="H74" s="158" t="s">
        <v>49</v>
      </c>
      <c r="I74" s="158"/>
      <c r="J74" s="158" t="s">
        <v>49</v>
      </c>
      <c r="K74" s="158"/>
      <c r="L74" s="158" t="s">
        <v>49</v>
      </c>
      <c r="M74" s="158"/>
      <c r="N74" s="159" t="s">
        <v>49</v>
      </c>
      <c r="O74" s="160"/>
      <c r="P74" s="158" t="s">
        <v>237</v>
      </c>
      <c r="Q74" s="158"/>
      <c r="R74" s="158"/>
      <c r="S74" s="158"/>
      <c r="T74" s="158"/>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35">
      <c r="A75" s="3"/>
      <c r="B75" s="3"/>
      <c r="C75" s="148"/>
      <c r="D75" s="148"/>
      <c r="E75" s="148"/>
      <c r="F75" s="158"/>
      <c r="G75" s="158"/>
      <c r="H75" s="158"/>
      <c r="I75" s="158"/>
      <c r="J75" s="158"/>
      <c r="K75" s="158"/>
      <c r="L75" s="158"/>
      <c r="M75" s="158"/>
      <c r="N75" s="161"/>
      <c r="O75" s="162"/>
      <c r="P75" s="158"/>
      <c r="Q75" s="158"/>
      <c r="R75" s="158"/>
      <c r="S75" s="158"/>
      <c r="T75" s="158"/>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35">
      <c r="A76" s="3"/>
      <c r="B76" s="3"/>
      <c r="C76" s="148"/>
      <c r="D76" s="148"/>
      <c r="E76" s="148"/>
      <c r="F76" s="158"/>
      <c r="G76" s="158"/>
      <c r="H76" s="158"/>
      <c r="I76" s="158"/>
      <c r="J76" s="158"/>
      <c r="K76" s="158"/>
      <c r="L76" s="158"/>
      <c r="M76" s="158"/>
      <c r="N76" s="163"/>
      <c r="O76" s="164"/>
      <c r="P76" s="158"/>
      <c r="Q76" s="158"/>
      <c r="R76" s="158"/>
      <c r="S76" s="158"/>
      <c r="T76" s="158"/>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35">
      <c r="A77" s="3"/>
      <c r="B77" s="3"/>
      <c r="C77" s="148" t="s">
        <v>242</v>
      </c>
      <c r="D77" s="148"/>
      <c r="E77" s="148"/>
      <c r="F77" s="158" t="s">
        <v>49</v>
      </c>
      <c r="G77" s="158"/>
      <c r="H77" s="158" t="s">
        <v>49</v>
      </c>
      <c r="I77" s="158"/>
      <c r="J77" s="158" t="s">
        <v>49</v>
      </c>
      <c r="K77" s="158"/>
      <c r="L77" s="158" t="s">
        <v>49</v>
      </c>
      <c r="M77" s="158"/>
      <c r="N77" s="159" t="s">
        <v>49</v>
      </c>
      <c r="O77" s="160"/>
      <c r="P77" s="158" t="s">
        <v>237</v>
      </c>
      <c r="Q77" s="158"/>
      <c r="R77" s="158"/>
      <c r="S77" s="158"/>
      <c r="T77" s="158"/>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35">
      <c r="A78" s="3"/>
      <c r="B78" s="3"/>
      <c r="C78" s="148"/>
      <c r="D78" s="148"/>
      <c r="E78" s="148"/>
      <c r="F78" s="158"/>
      <c r="G78" s="158"/>
      <c r="H78" s="158"/>
      <c r="I78" s="158"/>
      <c r="J78" s="158"/>
      <c r="K78" s="158"/>
      <c r="L78" s="158"/>
      <c r="M78" s="158"/>
      <c r="N78" s="161"/>
      <c r="O78" s="162"/>
      <c r="P78" s="158"/>
      <c r="Q78" s="158"/>
      <c r="R78" s="158"/>
      <c r="S78" s="158"/>
      <c r="T78" s="158"/>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35">
      <c r="A79" s="3"/>
      <c r="B79" s="3"/>
      <c r="C79" s="148"/>
      <c r="D79" s="148"/>
      <c r="E79" s="148"/>
      <c r="F79" s="158"/>
      <c r="G79" s="158"/>
      <c r="H79" s="158"/>
      <c r="I79" s="158"/>
      <c r="J79" s="158"/>
      <c r="K79" s="158"/>
      <c r="L79" s="158"/>
      <c r="M79" s="158"/>
      <c r="N79" s="163"/>
      <c r="O79" s="164"/>
      <c r="P79" s="158"/>
      <c r="Q79" s="158"/>
      <c r="R79" s="158"/>
      <c r="S79" s="158"/>
      <c r="T79" s="158"/>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ht="15" customHeight="1" x14ac:dyDescent="0.35">
      <c r="A80" s="3"/>
      <c r="B80" s="3"/>
      <c r="C80" s="148" t="s">
        <v>243</v>
      </c>
      <c r="D80" s="148"/>
      <c r="E80" s="148"/>
      <c r="F80" s="158" t="s">
        <v>49</v>
      </c>
      <c r="G80" s="158"/>
      <c r="H80" s="158" t="s">
        <v>49</v>
      </c>
      <c r="I80" s="158"/>
      <c r="J80" s="158" t="s">
        <v>49</v>
      </c>
      <c r="K80" s="158"/>
      <c r="L80" s="158" t="s">
        <v>49</v>
      </c>
      <c r="M80" s="158"/>
      <c r="N80" s="159" t="s">
        <v>49</v>
      </c>
      <c r="O80" s="160"/>
      <c r="P80" s="158" t="s">
        <v>237</v>
      </c>
      <c r="Q80" s="158"/>
      <c r="R80" s="158"/>
      <c r="S80" s="158"/>
      <c r="T80" s="158"/>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35">
      <c r="A81" s="3"/>
      <c r="B81" s="3"/>
      <c r="C81" s="148"/>
      <c r="D81" s="148"/>
      <c r="E81" s="148"/>
      <c r="F81" s="158"/>
      <c r="G81" s="158"/>
      <c r="H81" s="158"/>
      <c r="I81" s="158"/>
      <c r="J81" s="158"/>
      <c r="K81" s="158"/>
      <c r="L81" s="158"/>
      <c r="M81" s="158"/>
      <c r="N81" s="161"/>
      <c r="O81" s="162"/>
      <c r="P81" s="158"/>
      <c r="Q81" s="158"/>
      <c r="R81" s="158"/>
      <c r="S81" s="158"/>
      <c r="T81" s="158"/>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35">
      <c r="A82" s="3"/>
      <c r="B82" s="3"/>
      <c r="C82" s="148"/>
      <c r="D82" s="148"/>
      <c r="E82" s="148"/>
      <c r="F82" s="158"/>
      <c r="G82" s="158"/>
      <c r="H82" s="158"/>
      <c r="I82" s="158"/>
      <c r="J82" s="158"/>
      <c r="K82" s="158"/>
      <c r="L82" s="158"/>
      <c r="M82" s="158"/>
      <c r="N82" s="163"/>
      <c r="O82" s="164"/>
      <c r="P82" s="158"/>
      <c r="Q82" s="158"/>
      <c r="R82" s="158"/>
      <c r="S82" s="158"/>
      <c r="T82" s="158"/>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35">
      <c r="A83" s="3"/>
      <c r="B83" s="3"/>
      <c r="C83" s="148" t="s">
        <v>244</v>
      </c>
      <c r="D83" s="148"/>
      <c r="E83" s="148"/>
      <c r="F83" s="158" t="s">
        <v>49</v>
      </c>
      <c r="G83" s="158"/>
      <c r="H83" s="158" t="s">
        <v>49</v>
      </c>
      <c r="I83" s="158"/>
      <c r="J83" s="158" t="s">
        <v>49</v>
      </c>
      <c r="K83" s="158"/>
      <c r="L83" s="158" t="s">
        <v>49</v>
      </c>
      <c r="M83" s="158"/>
      <c r="N83" s="159" t="s">
        <v>49</v>
      </c>
      <c r="O83" s="160"/>
      <c r="P83" s="158" t="s">
        <v>237</v>
      </c>
      <c r="Q83" s="158"/>
      <c r="R83" s="158"/>
      <c r="S83" s="158"/>
      <c r="T83" s="158"/>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4" spans="1:57" x14ac:dyDescent="0.35">
      <c r="A84" s="3"/>
      <c r="B84" s="3"/>
      <c r="C84" s="148"/>
      <c r="D84" s="148"/>
      <c r="E84" s="148"/>
      <c r="F84" s="158"/>
      <c r="G84" s="158"/>
      <c r="H84" s="158"/>
      <c r="I84" s="158"/>
      <c r="J84" s="158"/>
      <c r="K84" s="158"/>
      <c r="L84" s="158"/>
      <c r="M84" s="158"/>
      <c r="N84" s="161"/>
      <c r="O84" s="162"/>
      <c r="P84" s="158"/>
      <c r="Q84" s="158"/>
      <c r="R84" s="158"/>
      <c r="S84" s="158"/>
      <c r="T84" s="158"/>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row>
    <row r="85" spans="1:57" x14ac:dyDescent="0.35">
      <c r="A85" s="3"/>
      <c r="B85" s="3"/>
      <c r="C85" s="148"/>
      <c r="D85" s="148"/>
      <c r="E85" s="148"/>
      <c r="F85" s="158"/>
      <c r="G85" s="158"/>
      <c r="H85" s="158"/>
      <c r="I85" s="158"/>
      <c r="J85" s="158"/>
      <c r="K85" s="158"/>
      <c r="L85" s="158"/>
      <c r="M85" s="158"/>
      <c r="N85" s="163"/>
      <c r="O85" s="164"/>
      <c r="P85" s="158"/>
      <c r="Q85" s="158"/>
      <c r="R85" s="158"/>
      <c r="S85" s="158"/>
      <c r="T85" s="158"/>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row>
    <row r="86" spans="1:57" ht="39.75" customHeight="1" x14ac:dyDescent="0.35">
      <c r="A86" s="3"/>
      <c r="B86" s="3"/>
      <c r="C86" s="148" t="s">
        <v>245</v>
      </c>
      <c r="D86" s="148"/>
      <c r="E86" s="148"/>
      <c r="F86" s="158" t="s">
        <v>49</v>
      </c>
      <c r="G86" s="158"/>
      <c r="H86" s="158" t="s">
        <v>49</v>
      </c>
      <c r="I86" s="158"/>
      <c r="J86" s="158" t="s">
        <v>50</v>
      </c>
      <c r="K86" s="158"/>
      <c r="L86" s="158" t="s">
        <v>49</v>
      </c>
      <c r="M86" s="158"/>
      <c r="N86" s="159" t="s">
        <v>49</v>
      </c>
      <c r="O86" s="160"/>
      <c r="P86" s="158" t="s">
        <v>246</v>
      </c>
      <c r="Q86" s="158"/>
      <c r="R86" s="158"/>
      <c r="S86" s="158"/>
      <c r="T86" s="158"/>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35">
      <c r="A87" s="3"/>
      <c r="B87" s="3"/>
      <c r="C87" s="148"/>
      <c r="D87" s="148"/>
      <c r="E87" s="148"/>
      <c r="F87" s="158"/>
      <c r="G87" s="158"/>
      <c r="H87" s="158"/>
      <c r="I87" s="158"/>
      <c r="J87" s="158"/>
      <c r="K87" s="158"/>
      <c r="L87" s="158"/>
      <c r="M87" s="158"/>
      <c r="N87" s="161"/>
      <c r="O87" s="162"/>
      <c r="P87" s="157" t="s">
        <v>247</v>
      </c>
      <c r="Q87" s="157"/>
      <c r="R87" s="157"/>
      <c r="S87" s="157"/>
      <c r="T87" s="157"/>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ht="30.75" customHeight="1" x14ac:dyDescent="0.35">
      <c r="A88" s="3"/>
      <c r="B88" s="3"/>
      <c r="C88" s="148"/>
      <c r="D88" s="148"/>
      <c r="E88" s="148"/>
      <c r="F88" s="158"/>
      <c r="G88" s="158"/>
      <c r="H88" s="158"/>
      <c r="I88" s="158"/>
      <c r="J88" s="158"/>
      <c r="K88" s="158"/>
      <c r="L88" s="158"/>
      <c r="M88" s="158"/>
      <c r="N88" s="163"/>
      <c r="O88" s="164"/>
      <c r="P88" s="157"/>
      <c r="Q88" s="157"/>
      <c r="R88" s="157"/>
      <c r="S88" s="157"/>
      <c r="T88" s="157"/>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35">
      <c r="A89" s="3"/>
      <c r="B89" s="3"/>
      <c r="C89" s="148" t="s">
        <v>248</v>
      </c>
      <c r="D89" s="148"/>
      <c r="E89" s="148"/>
      <c r="F89" s="158" t="s">
        <v>49</v>
      </c>
      <c r="G89" s="158"/>
      <c r="H89" s="158" t="s">
        <v>49</v>
      </c>
      <c r="I89" s="158"/>
      <c r="J89" s="158" t="s">
        <v>49</v>
      </c>
      <c r="K89" s="158"/>
      <c r="L89" s="158" t="s">
        <v>49</v>
      </c>
      <c r="M89" s="158"/>
      <c r="N89" s="159" t="s">
        <v>49</v>
      </c>
      <c r="O89" s="160"/>
      <c r="P89" s="158" t="s">
        <v>237</v>
      </c>
      <c r="Q89" s="158"/>
      <c r="R89" s="158"/>
      <c r="S89" s="158"/>
      <c r="T89" s="158"/>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35">
      <c r="A90" s="3"/>
      <c r="B90" s="3"/>
      <c r="C90" s="148"/>
      <c r="D90" s="148"/>
      <c r="E90" s="148"/>
      <c r="F90" s="158"/>
      <c r="G90" s="158"/>
      <c r="H90" s="158"/>
      <c r="I90" s="158"/>
      <c r="J90" s="158"/>
      <c r="K90" s="158"/>
      <c r="L90" s="158"/>
      <c r="M90" s="158"/>
      <c r="N90" s="161"/>
      <c r="O90" s="162"/>
      <c r="P90" s="158"/>
      <c r="Q90" s="158"/>
      <c r="R90" s="158"/>
      <c r="S90" s="158"/>
      <c r="T90" s="158"/>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ht="37.5" customHeight="1" x14ac:dyDescent="0.35">
      <c r="A91" s="3"/>
      <c r="B91" s="3"/>
      <c r="C91" s="148"/>
      <c r="D91" s="148"/>
      <c r="E91" s="148"/>
      <c r="F91" s="158"/>
      <c r="G91" s="158"/>
      <c r="H91" s="158"/>
      <c r="I91" s="158"/>
      <c r="J91" s="158"/>
      <c r="K91" s="158"/>
      <c r="L91" s="158"/>
      <c r="M91" s="158"/>
      <c r="N91" s="163"/>
      <c r="O91" s="164"/>
      <c r="P91" s="158"/>
      <c r="Q91" s="158"/>
      <c r="R91" s="158"/>
      <c r="S91" s="158"/>
      <c r="T91" s="158"/>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ht="44.25" customHeight="1" x14ac:dyDescent="0.35">
      <c r="A92" s="3"/>
      <c r="B92" s="3"/>
      <c r="C92" s="148" t="s">
        <v>249</v>
      </c>
      <c r="D92" s="148"/>
      <c r="E92" s="148"/>
      <c r="F92" s="158" t="s">
        <v>49</v>
      </c>
      <c r="G92" s="158"/>
      <c r="H92" s="158" t="s">
        <v>49</v>
      </c>
      <c r="I92" s="158"/>
      <c r="J92" s="158" t="s">
        <v>50</v>
      </c>
      <c r="K92" s="158"/>
      <c r="L92" s="158" t="s">
        <v>50</v>
      </c>
      <c r="M92" s="158"/>
      <c r="N92" s="159" t="s">
        <v>50</v>
      </c>
      <c r="O92" s="160"/>
      <c r="P92" s="158" t="s">
        <v>246</v>
      </c>
      <c r="Q92" s="158"/>
      <c r="R92" s="158"/>
      <c r="S92" s="158"/>
      <c r="T92" s="158"/>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35">
      <c r="A93" s="3"/>
      <c r="B93" s="3"/>
      <c r="C93" s="148"/>
      <c r="D93" s="148"/>
      <c r="E93" s="148"/>
      <c r="F93" s="158"/>
      <c r="G93" s="158"/>
      <c r="H93" s="158"/>
      <c r="I93" s="158"/>
      <c r="J93" s="158"/>
      <c r="K93" s="158"/>
      <c r="L93" s="158"/>
      <c r="M93" s="158"/>
      <c r="N93" s="161"/>
      <c r="O93" s="162"/>
      <c r="P93" s="157" t="s">
        <v>250</v>
      </c>
      <c r="Q93" s="157"/>
      <c r="R93" s="157"/>
      <c r="S93" s="157"/>
      <c r="T93" s="157"/>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ht="93" customHeight="1" x14ac:dyDescent="0.35">
      <c r="A94" s="3"/>
      <c r="B94" s="3"/>
      <c r="C94" s="148"/>
      <c r="D94" s="148"/>
      <c r="E94" s="148"/>
      <c r="F94" s="158"/>
      <c r="G94" s="158"/>
      <c r="H94" s="158"/>
      <c r="I94" s="158"/>
      <c r="J94" s="158"/>
      <c r="K94" s="158"/>
      <c r="L94" s="158"/>
      <c r="M94" s="158"/>
      <c r="N94" s="163"/>
      <c r="O94" s="164"/>
      <c r="P94" s="157"/>
      <c r="Q94" s="157"/>
      <c r="R94" s="157"/>
      <c r="S94" s="157"/>
      <c r="T94" s="157"/>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ht="45" customHeight="1" x14ac:dyDescent="0.35">
      <c r="A95" s="3"/>
      <c r="B95" s="3"/>
      <c r="C95" s="148" t="s">
        <v>251</v>
      </c>
      <c r="D95" s="148"/>
      <c r="E95" s="148"/>
      <c r="F95" s="158" t="s">
        <v>49</v>
      </c>
      <c r="G95" s="158"/>
      <c r="H95" s="158" t="s">
        <v>49</v>
      </c>
      <c r="I95" s="158"/>
      <c r="J95" s="158" t="s">
        <v>50</v>
      </c>
      <c r="K95" s="158"/>
      <c r="L95" s="158" t="s">
        <v>49</v>
      </c>
      <c r="M95" s="158"/>
      <c r="N95" s="157" t="s">
        <v>50</v>
      </c>
      <c r="O95" s="157"/>
      <c r="P95" s="158" t="s">
        <v>246</v>
      </c>
      <c r="Q95" s="158"/>
      <c r="R95" s="158"/>
      <c r="S95" s="158"/>
      <c r="T95" s="158"/>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35">
      <c r="A96" s="3"/>
      <c r="B96" s="3"/>
      <c r="C96" s="148"/>
      <c r="D96" s="148"/>
      <c r="E96" s="148"/>
      <c r="F96" s="158"/>
      <c r="G96" s="158"/>
      <c r="H96" s="158"/>
      <c r="I96" s="158"/>
      <c r="J96" s="158"/>
      <c r="K96" s="158"/>
      <c r="L96" s="158"/>
      <c r="M96" s="158"/>
      <c r="N96" s="157"/>
      <c r="O96" s="157"/>
      <c r="P96" s="157" t="s">
        <v>252</v>
      </c>
      <c r="Q96" s="157"/>
      <c r="R96" s="157"/>
      <c r="S96" s="157"/>
      <c r="T96" s="157"/>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ht="100.5" customHeight="1" x14ac:dyDescent="0.35">
      <c r="A97" s="3"/>
      <c r="B97" s="3"/>
      <c r="C97" s="148"/>
      <c r="D97" s="148"/>
      <c r="E97" s="148"/>
      <c r="F97" s="158"/>
      <c r="G97" s="158"/>
      <c r="H97" s="158"/>
      <c r="I97" s="158"/>
      <c r="J97" s="158"/>
      <c r="K97" s="158"/>
      <c r="L97" s="158"/>
      <c r="M97" s="158"/>
      <c r="N97" s="157"/>
      <c r="O97" s="157"/>
      <c r="P97" s="157"/>
      <c r="Q97" s="157"/>
      <c r="R97" s="157"/>
      <c r="S97" s="157"/>
      <c r="T97" s="157"/>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8" spans="1:57"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row>
    <row r="99" spans="1:57"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row>
    <row r="100" spans="1:57"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57"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57"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57"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57"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57"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57"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57"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57"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57"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57"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57"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57"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5">
      <c r="A143" s="3"/>
      <c r="B143" s="3"/>
    </row>
    <row r="144" spans="1:26" x14ac:dyDescent="0.35">
      <c r="A144" s="3"/>
      <c r="B144" s="3"/>
    </row>
    <row r="145" spans="1:2" x14ac:dyDescent="0.35">
      <c r="A145" s="3"/>
      <c r="B145" s="3"/>
    </row>
    <row r="146" spans="1:2" x14ac:dyDescent="0.35">
      <c r="A146" s="3"/>
      <c r="B146" s="3"/>
    </row>
    <row r="147" spans="1:2" x14ac:dyDescent="0.35">
      <c r="A147" s="3"/>
      <c r="B147" s="3"/>
    </row>
    <row r="148" spans="1:2" x14ac:dyDescent="0.35">
      <c r="A148" s="3"/>
      <c r="B148" s="3"/>
    </row>
    <row r="149" spans="1:2" x14ac:dyDescent="0.35">
      <c r="A149" s="3"/>
      <c r="B149" s="3"/>
    </row>
    <row r="150" spans="1:2" x14ac:dyDescent="0.35">
      <c r="A150" s="3"/>
      <c r="B150" s="3"/>
    </row>
    <row r="151" spans="1:2" x14ac:dyDescent="0.35">
      <c r="A151" s="3"/>
      <c r="B151" s="3"/>
    </row>
    <row r="152" spans="1:2" x14ac:dyDescent="0.35">
      <c r="A152" s="3"/>
      <c r="B152" s="3"/>
    </row>
    <row r="153" spans="1:2" x14ac:dyDescent="0.35">
      <c r="A153" s="3"/>
      <c r="B153" s="3"/>
    </row>
    <row r="154" spans="1:2" x14ac:dyDescent="0.35">
      <c r="A154" s="3"/>
      <c r="B154" s="3"/>
    </row>
    <row r="155" spans="1:2" x14ac:dyDescent="0.35">
      <c r="A155" s="3"/>
      <c r="B155" s="3"/>
    </row>
    <row r="156" spans="1:2" x14ac:dyDescent="0.35">
      <c r="A156" s="3"/>
      <c r="B156" s="3"/>
    </row>
    <row r="157" spans="1:2" x14ac:dyDescent="0.35">
      <c r="A157" s="3"/>
      <c r="B157" s="3"/>
    </row>
    <row r="158" spans="1:2" x14ac:dyDescent="0.35">
      <c r="A158" s="3"/>
      <c r="B158" s="3"/>
    </row>
    <row r="159" spans="1:2" x14ac:dyDescent="0.35">
      <c r="A159" s="3"/>
      <c r="B159" s="3"/>
    </row>
    <row r="160" spans="1:2" x14ac:dyDescent="0.35">
      <c r="A160" s="3"/>
      <c r="B160" s="3"/>
    </row>
    <row r="161" spans="1:2" x14ac:dyDescent="0.35">
      <c r="A161" s="3"/>
      <c r="B161" s="3"/>
    </row>
    <row r="162" spans="1:2" x14ac:dyDescent="0.35">
      <c r="A162" s="3"/>
      <c r="B162" s="3"/>
    </row>
    <row r="163" spans="1:2" x14ac:dyDescent="0.35">
      <c r="A163" s="3"/>
      <c r="B163" s="3"/>
    </row>
    <row r="164" spans="1:2" x14ac:dyDescent="0.35">
      <c r="A164" s="3"/>
      <c r="B164" s="3"/>
    </row>
    <row r="165" spans="1:2" x14ac:dyDescent="0.35">
      <c r="A165" s="3"/>
      <c r="B165" s="3"/>
    </row>
    <row r="166" spans="1:2" x14ac:dyDescent="0.35">
      <c r="A166" s="3"/>
      <c r="B166" s="3"/>
    </row>
    <row r="167" spans="1:2" x14ac:dyDescent="0.35">
      <c r="A167" s="3"/>
      <c r="B167" s="3"/>
    </row>
    <row r="168" spans="1:2" x14ac:dyDescent="0.35">
      <c r="A168" s="3"/>
      <c r="B168" s="3"/>
    </row>
    <row r="169" spans="1:2" x14ac:dyDescent="0.35">
      <c r="A169" s="3"/>
      <c r="B169" s="3"/>
    </row>
    <row r="170" spans="1:2" x14ac:dyDescent="0.35">
      <c r="A170" s="3"/>
      <c r="B170" s="3"/>
    </row>
    <row r="171" spans="1:2" x14ac:dyDescent="0.35">
      <c r="A171" s="3"/>
      <c r="B171" s="3"/>
    </row>
    <row r="172" spans="1:2" x14ac:dyDescent="0.35">
      <c r="A172" s="3"/>
      <c r="B172" s="3"/>
    </row>
    <row r="173" spans="1:2" x14ac:dyDescent="0.35">
      <c r="A173" s="3"/>
      <c r="B173" s="3"/>
    </row>
    <row r="174" spans="1:2" x14ac:dyDescent="0.35">
      <c r="A174" s="3"/>
      <c r="B174" s="3"/>
    </row>
    <row r="175" spans="1:2" x14ac:dyDescent="0.35">
      <c r="A175" s="3"/>
      <c r="B175" s="3"/>
    </row>
    <row r="176" spans="1:2" x14ac:dyDescent="0.35">
      <c r="A176" s="3"/>
      <c r="B176" s="3"/>
    </row>
    <row r="177" spans="1:2" x14ac:dyDescent="0.35">
      <c r="A177" s="3"/>
      <c r="B177" s="3"/>
    </row>
    <row r="178" spans="1:2" x14ac:dyDescent="0.35">
      <c r="A178" s="3"/>
      <c r="B178" s="3"/>
    </row>
    <row r="179" spans="1:2" x14ac:dyDescent="0.35">
      <c r="A179" s="3"/>
      <c r="B179" s="3"/>
    </row>
    <row r="180" spans="1:2" x14ac:dyDescent="0.35">
      <c r="A180" s="3"/>
      <c r="B180" s="3"/>
    </row>
    <row r="181" spans="1:2" x14ac:dyDescent="0.35">
      <c r="A181" s="3"/>
      <c r="B181" s="3"/>
    </row>
    <row r="182" spans="1:2" x14ac:dyDescent="0.35">
      <c r="A182" s="3"/>
      <c r="B182" s="3"/>
    </row>
    <row r="183" spans="1:2" x14ac:dyDescent="0.35">
      <c r="A183" s="3"/>
      <c r="B183" s="3"/>
    </row>
    <row r="184" spans="1:2" x14ac:dyDescent="0.35">
      <c r="A184" s="3"/>
      <c r="B184" s="3"/>
    </row>
    <row r="185" spans="1:2" x14ac:dyDescent="0.35">
      <c r="A185" s="3"/>
      <c r="B185" s="3"/>
    </row>
    <row r="186" spans="1:2" x14ac:dyDescent="0.35">
      <c r="A186" s="3"/>
      <c r="B186" s="3"/>
    </row>
    <row r="187" spans="1:2" x14ac:dyDescent="0.35">
      <c r="A187" s="3"/>
      <c r="B187" s="3"/>
    </row>
    <row r="188" spans="1:2" x14ac:dyDescent="0.35">
      <c r="A188" s="3"/>
      <c r="B188" s="3"/>
    </row>
    <row r="189" spans="1:2" x14ac:dyDescent="0.35">
      <c r="A189" s="3"/>
      <c r="B189" s="3"/>
    </row>
    <row r="190" spans="1:2" x14ac:dyDescent="0.35">
      <c r="A190" s="3"/>
      <c r="B190" s="3"/>
    </row>
    <row r="191" spans="1:2" x14ac:dyDescent="0.35">
      <c r="A191" s="3"/>
      <c r="B191" s="3"/>
    </row>
    <row r="192" spans="1:2" x14ac:dyDescent="0.35">
      <c r="A192" s="3"/>
      <c r="B192" s="3"/>
    </row>
    <row r="193" spans="1:2" x14ac:dyDescent="0.35">
      <c r="A193" s="3"/>
      <c r="B193" s="3"/>
    </row>
    <row r="194" spans="1:2" x14ac:dyDescent="0.35">
      <c r="A194" s="3"/>
      <c r="B194" s="3"/>
    </row>
    <row r="195" spans="1:2" x14ac:dyDescent="0.35">
      <c r="A195" s="3"/>
      <c r="B195" s="3"/>
    </row>
    <row r="196" spans="1:2" x14ac:dyDescent="0.35">
      <c r="A196" s="3"/>
      <c r="B196" s="3"/>
    </row>
    <row r="197" spans="1:2" x14ac:dyDescent="0.35">
      <c r="A197" s="3"/>
      <c r="B197" s="3"/>
    </row>
    <row r="198" spans="1:2" x14ac:dyDescent="0.35">
      <c r="A198" s="3"/>
      <c r="B198" s="3"/>
    </row>
    <row r="199" spans="1:2" x14ac:dyDescent="0.35">
      <c r="A199" s="3"/>
      <c r="B199" s="3"/>
    </row>
    <row r="200" spans="1:2" x14ac:dyDescent="0.35">
      <c r="A200" s="3"/>
      <c r="B200" s="3"/>
    </row>
    <row r="201" spans="1:2" x14ac:dyDescent="0.35">
      <c r="A201" s="3"/>
      <c r="B201" s="3"/>
    </row>
    <row r="202" spans="1:2" x14ac:dyDescent="0.35">
      <c r="A202" s="3"/>
      <c r="B202" s="3"/>
    </row>
    <row r="203" spans="1:2" x14ac:dyDescent="0.35">
      <c r="A203" s="3"/>
      <c r="B203" s="3"/>
    </row>
    <row r="204" spans="1:2" x14ac:dyDescent="0.35">
      <c r="A204" s="3"/>
      <c r="B204" s="3"/>
    </row>
    <row r="205" spans="1:2" x14ac:dyDescent="0.35">
      <c r="A205" s="3"/>
      <c r="B205" s="3"/>
    </row>
    <row r="206" spans="1:2" x14ac:dyDescent="0.35">
      <c r="A206" s="3"/>
      <c r="B206" s="3"/>
    </row>
    <row r="207" spans="1:2" x14ac:dyDescent="0.35">
      <c r="A207" s="3"/>
      <c r="B207" s="3"/>
    </row>
    <row r="208" spans="1:2" x14ac:dyDescent="0.35">
      <c r="A208" s="3"/>
      <c r="B208" s="3"/>
    </row>
    <row r="209" spans="1:2" x14ac:dyDescent="0.35">
      <c r="A209" s="3"/>
      <c r="B209" s="3"/>
    </row>
    <row r="210" spans="1:2" x14ac:dyDescent="0.35">
      <c r="A210" s="3"/>
      <c r="B210" s="3"/>
    </row>
    <row r="211" spans="1:2" x14ac:dyDescent="0.35">
      <c r="A211" s="3"/>
      <c r="B211" s="3"/>
    </row>
    <row r="212" spans="1:2" x14ac:dyDescent="0.35">
      <c r="A212" s="3"/>
      <c r="B212" s="3"/>
    </row>
    <row r="213" spans="1:2" x14ac:dyDescent="0.35">
      <c r="A213" s="3"/>
      <c r="B213" s="3"/>
    </row>
    <row r="214" spans="1:2" x14ac:dyDescent="0.35">
      <c r="A214" s="3"/>
      <c r="B214" s="3"/>
    </row>
    <row r="215" spans="1:2" x14ac:dyDescent="0.35">
      <c r="A215" s="3"/>
      <c r="B215" s="3"/>
    </row>
    <row r="216" spans="1:2" x14ac:dyDescent="0.35">
      <c r="A216" s="3"/>
      <c r="B216" s="3"/>
    </row>
    <row r="217" spans="1:2" x14ac:dyDescent="0.35">
      <c r="A217" s="3"/>
      <c r="B217" s="3"/>
    </row>
    <row r="218" spans="1:2" x14ac:dyDescent="0.35">
      <c r="A218" s="3"/>
      <c r="B218" s="3"/>
    </row>
    <row r="219" spans="1:2" x14ac:dyDescent="0.35">
      <c r="A219" s="3"/>
      <c r="B219" s="3"/>
    </row>
    <row r="220" spans="1:2" x14ac:dyDescent="0.35">
      <c r="A220" s="3"/>
      <c r="B220" s="3"/>
    </row>
    <row r="221" spans="1:2" x14ac:dyDescent="0.35">
      <c r="A221" s="3"/>
      <c r="B221" s="3"/>
    </row>
    <row r="222" spans="1:2" x14ac:dyDescent="0.35">
      <c r="A222" s="3"/>
      <c r="B222" s="3"/>
    </row>
    <row r="223" spans="1:2" x14ac:dyDescent="0.35">
      <c r="A223" s="3"/>
      <c r="B223" s="3"/>
    </row>
    <row r="224" spans="1:2" x14ac:dyDescent="0.35">
      <c r="A224" s="3"/>
      <c r="B224" s="3"/>
    </row>
    <row r="225" spans="1:2" x14ac:dyDescent="0.35">
      <c r="A225" s="3"/>
      <c r="B225" s="3"/>
    </row>
    <row r="226" spans="1:2" x14ac:dyDescent="0.35">
      <c r="A226" s="3"/>
      <c r="B226" s="3"/>
    </row>
    <row r="227" spans="1:2" x14ac:dyDescent="0.35">
      <c r="A227" s="3"/>
      <c r="B227" s="3"/>
    </row>
    <row r="228" spans="1:2" x14ac:dyDescent="0.35">
      <c r="A228" s="3"/>
      <c r="B228" s="3"/>
    </row>
    <row r="229" spans="1:2" x14ac:dyDescent="0.35">
      <c r="A229" s="3"/>
      <c r="B229" s="3"/>
    </row>
    <row r="230" spans="1:2" x14ac:dyDescent="0.35">
      <c r="A230" s="3"/>
      <c r="B230" s="3"/>
    </row>
    <row r="231" spans="1:2" x14ac:dyDescent="0.35">
      <c r="A231" s="3"/>
      <c r="B231" s="3"/>
    </row>
    <row r="232" spans="1:2" x14ac:dyDescent="0.35">
      <c r="A232" s="3"/>
      <c r="B232" s="3"/>
    </row>
    <row r="233" spans="1:2" x14ac:dyDescent="0.35">
      <c r="A233" s="3"/>
      <c r="B233" s="3"/>
    </row>
    <row r="234" spans="1:2" x14ac:dyDescent="0.35">
      <c r="A234" s="3"/>
      <c r="B234" s="3"/>
    </row>
    <row r="235" spans="1:2" x14ac:dyDescent="0.35">
      <c r="A235" s="3"/>
      <c r="B235" s="3"/>
    </row>
    <row r="236" spans="1:2" x14ac:dyDescent="0.35">
      <c r="A236" s="3"/>
      <c r="B236" s="3"/>
    </row>
    <row r="237" spans="1:2" x14ac:dyDescent="0.35">
      <c r="A237" s="3"/>
      <c r="B237" s="3"/>
    </row>
    <row r="238" spans="1:2" x14ac:dyDescent="0.35">
      <c r="A238" s="3"/>
      <c r="B238" s="3"/>
    </row>
    <row r="239" spans="1:2" x14ac:dyDescent="0.35">
      <c r="A239" s="3"/>
      <c r="B239" s="3"/>
    </row>
    <row r="240" spans="1:2" x14ac:dyDescent="0.35">
      <c r="A240" s="3"/>
      <c r="B240" s="3"/>
    </row>
    <row r="241" spans="1:2" x14ac:dyDescent="0.35">
      <c r="A241" s="3"/>
      <c r="B241" s="3"/>
    </row>
    <row r="242" spans="1:2" x14ac:dyDescent="0.35">
      <c r="A242" s="3"/>
      <c r="B242" s="3"/>
    </row>
    <row r="243" spans="1:2" x14ac:dyDescent="0.35">
      <c r="A243" s="3"/>
      <c r="B243" s="3"/>
    </row>
    <row r="244" spans="1:2" x14ac:dyDescent="0.35">
      <c r="A244" s="3"/>
      <c r="B244" s="3"/>
    </row>
    <row r="245" spans="1:2" x14ac:dyDescent="0.35">
      <c r="A245" s="3"/>
      <c r="B245" s="3"/>
    </row>
    <row r="246" spans="1:2" x14ac:dyDescent="0.35">
      <c r="A246" s="3"/>
      <c r="B246" s="3"/>
    </row>
    <row r="247" spans="1:2" x14ac:dyDescent="0.35">
      <c r="A247" s="3"/>
      <c r="B247" s="3"/>
    </row>
    <row r="248" spans="1:2" x14ac:dyDescent="0.35">
      <c r="A248" s="3"/>
      <c r="B248" s="3"/>
    </row>
    <row r="249" spans="1:2" x14ac:dyDescent="0.35">
      <c r="A249" s="3"/>
      <c r="B249" s="3"/>
    </row>
  </sheetData>
  <mergeCells count="116">
    <mergeCell ref="C3:P3"/>
    <mergeCell ref="C7:J8"/>
    <mergeCell ref="P7:Q8"/>
    <mergeCell ref="C9:J11"/>
    <mergeCell ref="P9:Q11"/>
    <mergeCell ref="K16:L17"/>
    <mergeCell ref="C16:J17"/>
    <mergeCell ref="P16:Q17"/>
    <mergeCell ref="K7:L8"/>
    <mergeCell ref="M7:O8"/>
    <mergeCell ref="M9:O13"/>
    <mergeCell ref="M14:O15"/>
    <mergeCell ref="M16:O17"/>
    <mergeCell ref="K9:L11"/>
    <mergeCell ref="C12:J13"/>
    <mergeCell ref="P12:Q13"/>
    <mergeCell ref="C14:J15"/>
    <mergeCell ref="P14:Q15"/>
    <mergeCell ref="K12:L13"/>
    <mergeCell ref="K14:L15"/>
    <mergeCell ref="P57:T61"/>
    <mergeCell ref="C62:E64"/>
    <mergeCell ref="F62:G64"/>
    <mergeCell ref="H62:I64"/>
    <mergeCell ref="J62:K64"/>
    <mergeCell ref="L62:M64"/>
    <mergeCell ref="N62:O64"/>
    <mergeCell ref="P62:T64"/>
    <mergeCell ref="J59:K61"/>
    <mergeCell ref="J57:O58"/>
    <mergeCell ref="L59:M61"/>
    <mergeCell ref="N59:O61"/>
    <mergeCell ref="C57:E61"/>
    <mergeCell ref="F57:I58"/>
    <mergeCell ref="F59:G61"/>
    <mergeCell ref="H59:I61"/>
    <mergeCell ref="N65:O67"/>
    <mergeCell ref="P65:T67"/>
    <mergeCell ref="C68:E70"/>
    <mergeCell ref="F68:G70"/>
    <mergeCell ref="H68:I70"/>
    <mergeCell ref="J68:K70"/>
    <mergeCell ref="L68:M70"/>
    <mergeCell ref="N68:O70"/>
    <mergeCell ref="P68:T70"/>
    <mergeCell ref="C65:E67"/>
    <mergeCell ref="F65:G67"/>
    <mergeCell ref="H65:I67"/>
    <mergeCell ref="J65:K67"/>
    <mergeCell ref="L65:M67"/>
    <mergeCell ref="N71:O73"/>
    <mergeCell ref="P71:T73"/>
    <mergeCell ref="C74:E76"/>
    <mergeCell ref="F74:G76"/>
    <mergeCell ref="H74:I76"/>
    <mergeCell ref="J74:K76"/>
    <mergeCell ref="L74:M76"/>
    <mergeCell ref="N74:O76"/>
    <mergeCell ref="P74:T76"/>
    <mergeCell ref="C71:E73"/>
    <mergeCell ref="F71:G73"/>
    <mergeCell ref="H71:I73"/>
    <mergeCell ref="J71:K73"/>
    <mergeCell ref="L71:M73"/>
    <mergeCell ref="N77:O79"/>
    <mergeCell ref="P77:T79"/>
    <mergeCell ref="C80:E82"/>
    <mergeCell ref="F80:G82"/>
    <mergeCell ref="H80:I82"/>
    <mergeCell ref="J80:K82"/>
    <mergeCell ref="L80:M82"/>
    <mergeCell ref="N80:O82"/>
    <mergeCell ref="P80:T82"/>
    <mergeCell ref="C77:E79"/>
    <mergeCell ref="F77:G79"/>
    <mergeCell ref="H77:I79"/>
    <mergeCell ref="J77:K79"/>
    <mergeCell ref="L77:M79"/>
    <mergeCell ref="N83:O85"/>
    <mergeCell ref="P83:T85"/>
    <mergeCell ref="C86:E88"/>
    <mergeCell ref="F86:G88"/>
    <mergeCell ref="H86:I88"/>
    <mergeCell ref="J86:K88"/>
    <mergeCell ref="L86:M88"/>
    <mergeCell ref="N86:O88"/>
    <mergeCell ref="P86:T86"/>
    <mergeCell ref="P87:T88"/>
    <mergeCell ref="C83:E85"/>
    <mergeCell ref="F83:G85"/>
    <mergeCell ref="H83:I85"/>
    <mergeCell ref="J83:K85"/>
    <mergeCell ref="L83:M85"/>
    <mergeCell ref="N95:O97"/>
    <mergeCell ref="P95:T95"/>
    <mergeCell ref="P96:T97"/>
    <mergeCell ref="C95:E97"/>
    <mergeCell ref="F95:G97"/>
    <mergeCell ref="H95:I97"/>
    <mergeCell ref="J95:K97"/>
    <mergeCell ref="L95:M97"/>
    <mergeCell ref="N89:O91"/>
    <mergeCell ref="P89:T91"/>
    <mergeCell ref="C92:E94"/>
    <mergeCell ref="F92:G94"/>
    <mergeCell ref="H92:I94"/>
    <mergeCell ref="J92:K94"/>
    <mergeCell ref="L92:M94"/>
    <mergeCell ref="N92:O94"/>
    <mergeCell ref="P92:T92"/>
    <mergeCell ref="P93:T94"/>
    <mergeCell ref="C89:E91"/>
    <mergeCell ref="F89:G91"/>
    <mergeCell ref="H89:I91"/>
    <mergeCell ref="J89:K91"/>
    <mergeCell ref="L89:M91"/>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7765B-76A2-4D15-88B1-5DBD4C2124ED}">
  <dimension ref="A1:D12"/>
  <sheetViews>
    <sheetView tabSelected="1" workbookViewId="0">
      <selection activeCell="A10" sqref="A10"/>
    </sheetView>
  </sheetViews>
  <sheetFormatPr defaultRowHeight="14.5" x14ac:dyDescent="0.35"/>
  <cols>
    <col min="1" max="1" width="70.26953125" customWidth="1"/>
    <col min="2" max="4" width="24" customWidth="1"/>
  </cols>
  <sheetData>
    <row r="1" spans="1:4" ht="15" x14ac:dyDescent="0.35">
      <c r="A1" s="202" t="s">
        <v>174</v>
      </c>
      <c r="B1" s="202"/>
      <c r="C1" s="202"/>
      <c r="D1" s="202"/>
    </row>
    <row r="2" spans="1:4" ht="58" x14ac:dyDescent="0.35">
      <c r="A2" s="213"/>
      <c r="B2" s="206" t="s">
        <v>176</v>
      </c>
      <c r="C2" s="207" t="s">
        <v>177</v>
      </c>
      <c r="D2" s="11" t="s">
        <v>178</v>
      </c>
    </row>
    <row r="3" spans="1:4" ht="35" customHeight="1" x14ac:dyDescent="0.35">
      <c r="A3" s="205" t="s">
        <v>180</v>
      </c>
      <c r="B3" s="216"/>
      <c r="C3" s="217"/>
      <c r="D3" s="209"/>
    </row>
    <row r="4" spans="1:4" ht="35" customHeight="1" x14ac:dyDescent="0.35">
      <c r="A4" s="205" t="s">
        <v>181</v>
      </c>
      <c r="B4" s="218"/>
      <c r="C4" s="218"/>
      <c r="D4" s="209"/>
    </row>
    <row r="7" spans="1:4" ht="15" x14ac:dyDescent="0.35">
      <c r="A7" s="203" t="s">
        <v>195</v>
      </c>
      <c r="B7" s="203"/>
      <c r="C7" s="203"/>
      <c r="D7" s="203"/>
    </row>
    <row r="8" spans="1:4" x14ac:dyDescent="0.35">
      <c r="A8" s="213"/>
      <c r="B8" s="206" t="s">
        <v>176</v>
      </c>
      <c r="C8" s="208" t="s">
        <v>197</v>
      </c>
      <c r="D8" s="206" t="s">
        <v>198</v>
      </c>
    </row>
    <row r="9" spans="1:4" ht="43.5" x14ac:dyDescent="0.35">
      <c r="A9" s="205" t="s">
        <v>199</v>
      </c>
      <c r="B9" s="211"/>
      <c r="C9" s="214"/>
      <c r="D9" s="212"/>
    </row>
    <row r="10" spans="1:4" ht="29" x14ac:dyDescent="0.35">
      <c r="A10" s="205" t="s">
        <v>200</v>
      </c>
      <c r="B10" s="211"/>
      <c r="C10" s="215"/>
      <c r="D10" s="212"/>
    </row>
    <row r="11" spans="1:4" ht="43.5" x14ac:dyDescent="0.35">
      <c r="A11" s="205" t="s">
        <v>201</v>
      </c>
      <c r="B11" s="211"/>
      <c r="C11" s="211"/>
      <c r="D11" s="210"/>
    </row>
    <row r="12" spans="1:4" ht="29" x14ac:dyDescent="0.35">
      <c r="A12" s="205" t="s">
        <v>202</v>
      </c>
      <c r="B12" s="210"/>
      <c r="C12" s="210"/>
      <c r="D12" s="210"/>
    </row>
  </sheetData>
  <mergeCells count="2">
    <mergeCell ref="A7:D7"/>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1C710-3886-4045-8D38-13C5FBCEDC50}">
  <dimension ref="A1:D93"/>
  <sheetViews>
    <sheetView workbookViewId="0">
      <selection activeCell="A2" sqref="A2:D7"/>
    </sheetView>
  </sheetViews>
  <sheetFormatPr defaultRowHeight="14.5" x14ac:dyDescent="0.35"/>
  <cols>
    <col min="1" max="1" width="74" bestFit="1" customWidth="1"/>
    <col min="2" max="4" width="18.54296875" customWidth="1"/>
  </cols>
  <sheetData>
    <row r="1" spans="1:4" ht="0.75" customHeight="1" x14ac:dyDescent="0.35">
      <c r="A1" s="3"/>
      <c r="B1" s="3"/>
      <c r="C1" s="3"/>
      <c r="D1" s="3"/>
    </row>
    <row r="2" spans="1:4" s="204" customFormat="1" ht="39" customHeight="1" x14ac:dyDescent="0.35">
      <c r="A2" s="203" t="s">
        <v>195</v>
      </c>
      <c r="B2" s="203"/>
      <c r="C2" s="203"/>
      <c r="D2" s="203"/>
    </row>
    <row r="3" spans="1:4" ht="29" x14ac:dyDescent="0.35">
      <c r="A3" s="213"/>
      <c r="B3" s="206" t="s">
        <v>176</v>
      </c>
      <c r="C3" s="208" t="s">
        <v>197</v>
      </c>
      <c r="D3" s="206" t="s">
        <v>198</v>
      </c>
    </row>
    <row r="4" spans="1:4" s="201" customFormat="1" ht="31" customHeight="1" x14ac:dyDescent="0.35">
      <c r="A4" s="205" t="s">
        <v>199</v>
      </c>
      <c r="B4" s="211"/>
      <c r="C4" s="214"/>
      <c r="D4" s="212"/>
    </row>
    <row r="5" spans="1:4" s="201" customFormat="1" ht="31" customHeight="1" x14ac:dyDescent="0.35">
      <c r="A5" s="205" t="s">
        <v>200</v>
      </c>
      <c r="B5" s="211"/>
      <c r="C5" s="215"/>
      <c r="D5" s="212"/>
    </row>
    <row r="6" spans="1:4" s="201" customFormat="1" ht="31" customHeight="1" x14ac:dyDescent="0.35">
      <c r="A6" s="205" t="s">
        <v>201</v>
      </c>
      <c r="B6" s="211"/>
      <c r="C6" s="211"/>
      <c r="D6" s="210"/>
    </row>
    <row r="7" spans="1:4" s="201" customFormat="1" ht="31" customHeight="1" x14ac:dyDescent="0.35">
      <c r="A7" s="205" t="s">
        <v>202</v>
      </c>
      <c r="B7" s="210"/>
      <c r="C7" s="210"/>
      <c r="D7" s="210"/>
    </row>
    <row r="53" spans="1:4" x14ac:dyDescent="0.35">
      <c r="A53" s="200"/>
      <c r="B53" s="200"/>
      <c r="C53" s="200"/>
      <c r="D53" s="200"/>
    </row>
    <row r="54" spans="1:4" x14ac:dyDescent="0.35">
      <c r="A54" s="200"/>
      <c r="B54" s="200"/>
      <c r="C54" s="200"/>
      <c r="D54" s="200"/>
    </row>
    <row r="55" spans="1:4" x14ac:dyDescent="0.35">
      <c r="A55" s="200"/>
      <c r="B55" s="200"/>
      <c r="C55" s="200"/>
      <c r="D55" s="200"/>
    </row>
    <row r="56" spans="1:4" x14ac:dyDescent="0.35">
      <c r="A56" s="200"/>
      <c r="B56" s="200"/>
      <c r="C56" s="200"/>
      <c r="D56" s="200"/>
    </row>
    <row r="57" spans="1:4" x14ac:dyDescent="0.35">
      <c r="A57" s="200"/>
      <c r="B57" s="200"/>
      <c r="C57" s="200"/>
      <c r="D57" s="200"/>
    </row>
    <row r="58" spans="1:4" x14ac:dyDescent="0.35">
      <c r="A58" s="200"/>
      <c r="B58" s="200"/>
      <c r="C58" s="200"/>
      <c r="D58" s="200"/>
    </row>
    <row r="59" spans="1:4" x14ac:dyDescent="0.35">
      <c r="A59" s="200"/>
      <c r="B59" s="200"/>
      <c r="C59" s="200"/>
      <c r="D59" s="200"/>
    </row>
    <row r="60" spans="1:4" x14ac:dyDescent="0.35">
      <c r="A60" s="200"/>
      <c r="B60" s="200"/>
      <c r="C60" s="200"/>
      <c r="D60" s="200"/>
    </row>
    <row r="61" spans="1:4" x14ac:dyDescent="0.35">
      <c r="A61" s="200"/>
      <c r="B61" s="200"/>
      <c r="C61" s="200"/>
      <c r="D61" s="200"/>
    </row>
    <row r="62" spans="1:4" x14ac:dyDescent="0.35">
      <c r="A62" s="200"/>
      <c r="B62" s="200"/>
      <c r="C62" s="200"/>
      <c r="D62" s="200"/>
    </row>
    <row r="63" spans="1:4" x14ac:dyDescent="0.35">
      <c r="A63" s="200"/>
      <c r="B63" s="200"/>
      <c r="C63" s="200"/>
      <c r="D63" s="200"/>
    </row>
    <row r="64" spans="1:4" x14ac:dyDescent="0.35">
      <c r="A64" s="200"/>
      <c r="B64" s="200"/>
      <c r="C64" s="200"/>
      <c r="D64" s="200"/>
    </row>
    <row r="65" spans="1:4" x14ac:dyDescent="0.35">
      <c r="A65" s="200"/>
      <c r="B65" s="200"/>
      <c r="C65" s="200"/>
      <c r="D65" s="200"/>
    </row>
    <row r="66" spans="1:4" x14ac:dyDescent="0.35">
      <c r="A66" s="200"/>
      <c r="B66" s="200"/>
      <c r="C66" s="200"/>
      <c r="D66" s="200"/>
    </row>
    <row r="67" spans="1:4" x14ac:dyDescent="0.35">
      <c r="A67" s="200"/>
      <c r="B67" s="200"/>
      <c r="C67" s="200"/>
      <c r="D67" s="200"/>
    </row>
    <row r="68" spans="1:4" x14ac:dyDescent="0.35">
      <c r="A68" s="200"/>
      <c r="B68" s="200"/>
      <c r="C68" s="200"/>
      <c r="D68" s="200"/>
    </row>
    <row r="69" spans="1:4" x14ac:dyDescent="0.35">
      <c r="A69" s="200"/>
      <c r="B69" s="200"/>
      <c r="C69" s="200"/>
      <c r="D69" s="200"/>
    </row>
    <row r="70" spans="1:4" x14ac:dyDescent="0.35">
      <c r="A70" s="200"/>
      <c r="B70" s="200"/>
      <c r="C70" s="200"/>
      <c r="D70" s="200"/>
    </row>
    <row r="71" spans="1:4" x14ac:dyDescent="0.35">
      <c r="A71" s="200"/>
      <c r="B71" s="200"/>
      <c r="C71" s="200"/>
      <c r="D71" s="200"/>
    </row>
    <row r="72" spans="1:4" x14ac:dyDescent="0.35">
      <c r="A72" s="200"/>
      <c r="B72" s="200"/>
      <c r="C72" s="200"/>
      <c r="D72" s="200"/>
    </row>
    <row r="73" spans="1:4" x14ac:dyDescent="0.35">
      <c r="A73" s="200"/>
      <c r="B73" s="200"/>
      <c r="C73" s="200"/>
      <c r="D73" s="200"/>
    </row>
    <row r="74" spans="1:4" x14ac:dyDescent="0.35">
      <c r="A74" s="200"/>
      <c r="B74" s="200"/>
      <c r="C74" s="200"/>
      <c r="D74" s="200"/>
    </row>
    <row r="75" spans="1:4" x14ac:dyDescent="0.35">
      <c r="A75" s="200"/>
      <c r="B75" s="200"/>
      <c r="C75" s="200"/>
      <c r="D75" s="200"/>
    </row>
    <row r="76" spans="1:4" x14ac:dyDescent="0.35">
      <c r="A76" s="200"/>
      <c r="B76" s="200"/>
      <c r="C76" s="200"/>
      <c r="D76" s="200"/>
    </row>
    <row r="77" spans="1:4" x14ac:dyDescent="0.35">
      <c r="A77" s="200"/>
      <c r="B77" s="200"/>
      <c r="C77" s="200"/>
      <c r="D77" s="200"/>
    </row>
    <row r="78" spans="1:4" x14ac:dyDescent="0.35">
      <c r="A78" s="200"/>
      <c r="B78" s="200"/>
      <c r="C78" s="200"/>
      <c r="D78" s="200"/>
    </row>
    <row r="79" spans="1:4" x14ac:dyDescent="0.35">
      <c r="A79" s="200"/>
      <c r="B79" s="200"/>
      <c r="C79" s="200"/>
      <c r="D79" s="200"/>
    </row>
    <row r="80" spans="1:4" x14ac:dyDescent="0.35">
      <c r="A80" s="200"/>
      <c r="B80" s="200"/>
      <c r="C80" s="200"/>
      <c r="D80" s="200"/>
    </row>
    <row r="81" spans="1:4" x14ac:dyDescent="0.35">
      <c r="A81" s="200"/>
      <c r="B81" s="200"/>
      <c r="C81" s="200"/>
      <c r="D81" s="200"/>
    </row>
    <row r="82" spans="1:4" x14ac:dyDescent="0.35">
      <c r="A82" s="200"/>
      <c r="B82" s="200"/>
      <c r="C82" s="200"/>
      <c r="D82" s="200"/>
    </row>
    <row r="83" spans="1:4" x14ac:dyDescent="0.35">
      <c r="A83" s="200"/>
      <c r="B83" s="200"/>
      <c r="C83" s="200"/>
      <c r="D83" s="200"/>
    </row>
    <row r="84" spans="1:4" x14ac:dyDescent="0.35">
      <c r="A84" s="200"/>
      <c r="B84" s="200"/>
      <c r="C84" s="200"/>
      <c r="D84" s="200"/>
    </row>
    <row r="85" spans="1:4" x14ac:dyDescent="0.35">
      <c r="A85" s="200"/>
      <c r="B85" s="200"/>
      <c r="C85" s="200"/>
      <c r="D85" s="200"/>
    </row>
    <row r="86" spans="1:4" x14ac:dyDescent="0.35">
      <c r="A86" s="200"/>
      <c r="B86" s="200"/>
      <c r="C86" s="200"/>
      <c r="D86" s="200"/>
    </row>
    <row r="87" spans="1:4" x14ac:dyDescent="0.35">
      <c r="A87" s="200"/>
      <c r="B87" s="200"/>
      <c r="C87" s="200"/>
      <c r="D87" s="200"/>
    </row>
    <row r="88" spans="1:4" x14ac:dyDescent="0.35">
      <c r="A88" s="200"/>
      <c r="B88" s="200"/>
      <c r="C88" s="200"/>
      <c r="D88" s="200"/>
    </row>
    <row r="89" spans="1:4" x14ac:dyDescent="0.35">
      <c r="A89" s="200"/>
      <c r="B89" s="200"/>
      <c r="C89" s="200"/>
      <c r="D89" s="200"/>
    </row>
    <row r="90" spans="1:4" x14ac:dyDescent="0.35">
      <c r="A90" s="200"/>
      <c r="B90" s="200"/>
      <c r="C90" s="200"/>
      <c r="D90" s="200"/>
    </row>
    <row r="91" spans="1:4" x14ac:dyDescent="0.35">
      <c r="A91" s="200"/>
      <c r="B91" s="200"/>
      <c r="C91" s="200"/>
      <c r="D91" s="200"/>
    </row>
    <row r="92" spans="1:4" x14ac:dyDescent="0.35">
      <c r="A92" s="200"/>
      <c r="B92" s="200"/>
      <c r="C92" s="200"/>
      <c r="D92" s="200"/>
    </row>
    <row r="93" spans="1:4" x14ac:dyDescent="0.35">
      <c r="A93" s="200"/>
      <c r="B93" s="200"/>
      <c r="C93" s="200"/>
      <c r="D93" s="200"/>
    </row>
  </sheetData>
  <mergeCells count="1">
    <mergeCell ref="A2:D2"/>
  </mergeCells>
  <pageMargins left="0.7" right="0.7" top="0.75" bottom="0.75" header="0.3" footer="0.3"/>
  <pageSetup paperSize="9" orientation="portrait"/>
</worksheet>
</file>

<file path=docMetadata/LabelInfo.xml><?xml version="1.0" encoding="utf-8"?>
<clbl:labelList xmlns:clbl="http://schemas.microsoft.com/office/2020/mipLabelMetadata">
  <clbl:label id="{95653b52-df9b-47d2-8549-8de78ac04e21}" enabled="1" method="Standard" siteId="{deff24bb-2089-4400-8c8e-f71e680378b2}"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ΦΥΛΛΟ ΧΡΗΜΑΤΙΚΗΣ ΕΙΣΦΟΡΑΣ</vt:lpstr>
      <vt:lpstr>ΠΛΑΣΤ. ΦΙΑΛΕΣ ΠΟΤΩΝ ΜΙΑΣ ΧΡΗΣΗΣ</vt:lpstr>
      <vt:lpstr>ΚΥΠΕΛ. ΠΕΡΙΕΚΤ. ΤΡΟΦ. ΠΟΤΩΝ ΜΧ</vt:lpstr>
      <vt:lpstr>Sheet1</vt:lpstr>
      <vt:lpstr>ΚΥΠΕΛ. ΠΕΡΙΕΚΤ. ΤΡΟΦ. ΠΟΤΩΝ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Theologos Kakepis</dc:creator>
  <cp:lastModifiedBy>Tolias, Alexandros</cp:lastModifiedBy>
  <cp:revision>3</cp:revision>
  <dcterms:created xsi:type="dcterms:W3CDTF">2025-10-01T12:42:48Z</dcterms:created>
  <dcterms:modified xsi:type="dcterms:W3CDTF">2026-03-11T15:25:35Z</dcterms:modified>
</cp:coreProperties>
</file>